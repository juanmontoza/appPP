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uanma/PycharmProjects/pythonProject1/"/>
    </mc:Choice>
  </mc:AlternateContent>
  <xr:revisionPtr revIDLastSave="0" documentId="13_ncr:1_{F735528C-8ECE-E14C-B3BA-FC697BFEF869}" xr6:coauthVersionLast="47" xr6:coauthVersionMax="47" xr10:uidLastSave="{00000000-0000-0000-0000-000000000000}"/>
  <bookViews>
    <workbookView xWindow="0" yWindow="500" windowWidth="35840" windowHeight="21900" tabRatio="788" xr2:uid="{6588371E-7E65-8A46-86AA-62B8292E081E}"/>
  </bookViews>
  <sheets>
    <sheet name="LCa-3159 " sheetId="9" r:id="rId1"/>
    <sheet name="Depth Control" sheetId="8" r:id="rId2"/>
    <sheet name="Actual Survey" sheetId="3" r:id="rId3"/>
    <sheet name="Planned Survey" sheetId="4" r:id="rId4"/>
    <sheet name="Geosteering Markers" sheetId="5" r:id="rId5"/>
    <sheet name="MD &amp; Geomodel" sheetId="14" r:id="rId6"/>
    <sheet name="Pf &amp; Def" sheetId="16" r:id="rId7"/>
    <sheet name="N_E &amp; Def" sheetId="15" r:id="rId8"/>
    <sheet name="Delta_lower &amp; Def" sheetId="11" r:id="rId9"/>
    <sheet name="Delta_upper &amp; Def" sheetId="12" r:id="rId10"/>
    <sheet name="DLS &amp; Def" sheetId="13" r:id="rId1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59" i="9" l="1"/>
  <c r="Y160" i="9"/>
  <c r="Y161" i="9"/>
  <c r="Y162" i="9"/>
  <c r="Y163" i="9"/>
  <c r="Y164" i="9"/>
  <c r="Y165" i="9"/>
  <c r="Y166" i="9"/>
  <c r="Y167" i="9"/>
  <c r="Y168" i="9"/>
  <c r="Y169" i="9"/>
  <c r="Y170" i="9"/>
  <c r="Y171" i="9"/>
  <c r="Y172" i="9"/>
  <c r="Y173" i="9"/>
  <c r="Y174" i="9"/>
  <c r="Y175" i="9"/>
  <c r="Y176" i="9"/>
  <c r="Y177" i="9"/>
  <c r="Y178" i="9"/>
  <c r="Y179" i="9"/>
  <c r="Y356" i="9"/>
  <c r="Y357" i="9"/>
  <c r="Y358" i="9"/>
  <c r="Y359" i="9"/>
  <c r="Y360" i="9"/>
  <c r="Y361" i="9"/>
  <c r="Y362" i="9"/>
  <c r="Y363" i="9"/>
  <c r="Y364" i="9"/>
  <c r="Y365" i="9"/>
  <c r="Y335" i="9"/>
  <c r="Y334" i="9"/>
  <c r="Y316" i="9"/>
  <c r="Y317" i="9"/>
  <c r="Y318" i="9"/>
  <c r="Y319" i="9"/>
  <c r="Y320" i="9"/>
  <c r="Y321" i="9"/>
  <c r="Y322" i="9"/>
  <c r="Y323" i="9"/>
  <c r="Y324" i="9"/>
  <c r="Y325" i="9"/>
  <c r="Y254" i="9"/>
  <c r="Y255" i="9"/>
  <c r="Y256" i="9"/>
  <c r="Y257" i="9"/>
  <c r="Y258" i="9"/>
  <c r="Y259" i="9"/>
  <c r="Y260" i="9"/>
  <c r="Y261" i="9"/>
  <c r="Y262" i="9"/>
  <c r="Y263" i="9"/>
  <c r="Y264" i="9"/>
  <c r="Y265" i="9"/>
  <c r="Y266" i="9"/>
  <c r="Y267" i="9"/>
  <c r="Y241" i="9"/>
  <c r="Y242" i="9"/>
  <c r="X112" i="9" a="1"/>
  <c r="X111" i="9" a="1"/>
  <c r="W113" i="9" a="1"/>
  <c r="X110" i="9" a="1"/>
  <c r="W110" i="9" a="1"/>
  <c r="X109" i="9" a="1"/>
  <c r="W108" i="9" a="1"/>
  <c r="W112" i="9" a="1"/>
  <c r="W111" i="9" a="1"/>
  <c r="W109" i="9" a="1"/>
  <c r="X113" i="9" a="1"/>
  <c r="X113" i="9" l="1"/>
  <c r="W113" i="9"/>
  <c r="W111" i="9"/>
  <c r="W110" i="9"/>
  <c r="W109" i="9"/>
  <c r="W112" i="9"/>
  <c r="W108" i="9"/>
  <c r="X110" i="9"/>
  <c r="X111" i="9"/>
  <c r="X112" i="9"/>
  <c r="X109" i="9"/>
  <c r="AA365" i="9"/>
  <c r="V118" i="9"/>
  <c r="V122" i="9"/>
  <c r="V124" i="9"/>
  <c r="V125" i="9"/>
  <c r="V126" i="9"/>
  <c r="V127" i="9"/>
  <c r="V128" i="9"/>
  <c r="V129" i="9"/>
  <c r="V132" i="9"/>
  <c r="V135" i="9"/>
  <c r="V138" i="9"/>
  <c r="V142" i="9"/>
  <c r="V146" i="9"/>
  <c r="V149" i="9"/>
  <c r="V152" i="9"/>
  <c r="V156" i="9"/>
  <c r="V157" i="9"/>
  <c r="V160" i="9"/>
  <c r="V163" i="9"/>
  <c r="V167" i="9"/>
  <c r="V171" i="9"/>
  <c r="V174" i="9"/>
  <c r="V178" i="9"/>
  <c r="V181" i="9"/>
  <c r="V185" i="9"/>
  <c r="V189" i="9"/>
  <c r="V191" i="9"/>
  <c r="V192" i="9"/>
  <c r="V193" i="9"/>
  <c r="V194" i="9"/>
  <c r="V195" i="9"/>
  <c r="V198" i="9"/>
  <c r="V201" i="9"/>
  <c r="V205" i="9"/>
  <c r="V209" i="9"/>
  <c r="V213" i="9"/>
  <c r="V217" i="9"/>
  <c r="V221" i="9"/>
  <c r="V225" i="9"/>
  <c r="V228" i="9"/>
  <c r="V231" i="9"/>
  <c r="V232" i="9"/>
  <c r="V233" i="9"/>
  <c r="V236" i="9"/>
  <c r="V239" i="9"/>
  <c r="V243" i="9"/>
  <c r="V247" i="9"/>
  <c r="V250" i="9"/>
  <c r="V254" i="9"/>
  <c r="V257" i="9"/>
  <c r="V261" i="9"/>
  <c r="V264" i="9"/>
  <c r="V268" i="9"/>
  <c r="V271" i="9"/>
  <c r="V275" i="9"/>
  <c r="V279" i="9"/>
  <c r="V282" i="9"/>
  <c r="V285" i="9"/>
  <c r="V289" i="9"/>
  <c r="V293" i="9"/>
  <c r="V296" i="9"/>
  <c r="V299" i="9"/>
  <c r="V300" i="9"/>
  <c r="V301" i="9"/>
  <c r="V302" i="9"/>
  <c r="V304" i="9"/>
  <c r="V307" i="9"/>
  <c r="V311" i="9"/>
  <c r="V314" i="9"/>
  <c r="V318" i="9"/>
  <c r="V322" i="9"/>
  <c r="V325" i="9"/>
  <c r="V329" i="9"/>
  <c r="V332" i="9"/>
  <c r="V336" i="9"/>
  <c r="V337" i="9"/>
  <c r="V338" i="9"/>
  <c r="V339" i="9"/>
  <c r="V340" i="9"/>
  <c r="V343" i="9"/>
  <c r="V347" i="9"/>
  <c r="V351" i="9"/>
  <c r="V354" i="9"/>
  <c r="V356" i="9"/>
  <c r="V357" i="9"/>
  <c r="V359" i="9"/>
  <c r="V361" i="9"/>
  <c r="V362" i="9"/>
  <c r="V363" i="9"/>
  <c r="T118" i="9"/>
  <c r="T122" i="9"/>
  <c r="T124" i="9"/>
  <c r="T125" i="9"/>
  <c r="T126" i="9"/>
  <c r="T127" i="9"/>
  <c r="T128" i="9"/>
  <c r="T129" i="9"/>
  <c r="T132" i="9"/>
  <c r="T135" i="9"/>
  <c r="T138" i="9"/>
  <c r="T142" i="9"/>
  <c r="T146" i="9"/>
  <c r="T149" i="9"/>
  <c r="T152" i="9"/>
  <c r="T156" i="9"/>
  <c r="T157" i="9"/>
  <c r="T160" i="9"/>
  <c r="T163" i="9"/>
  <c r="T167" i="9"/>
  <c r="T171" i="9"/>
  <c r="T174" i="9"/>
  <c r="T178" i="9"/>
  <c r="T181" i="9"/>
  <c r="T185" i="9"/>
  <c r="T189" i="9"/>
  <c r="T191" i="9"/>
  <c r="T192" i="9"/>
  <c r="T193" i="9"/>
  <c r="T194" i="9"/>
  <c r="T195" i="9"/>
  <c r="T198" i="9"/>
  <c r="T201" i="9"/>
  <c r="T205" i="9"/>
  <c r="T209" i="9"/>
  <c r="T213" i="9"/>
  <c r="T217" i="9"/>
  <c r="T221" i="9"/>
  <c r="T225" i="9"/>
  <c r="T228" i="9"/>
  <c r="T231" i="9"/>
  <c r="T232" i="9"/>
  <c r="T233" i="9"/>
  <c r="T236" i="9"/>
  <c r="T239" i="9"/>
  <c r="T243" i="9"/>
  <c r="T247" i="9"/>
  <c r="T250" i="9"/>
  <c r="T254" i="9"/>
  <c r="T257" i="9"/>
  <c r="T261" i="9"/>
  <c r="T264" i="9"/>
  <c r="T268" i="9"/>
  <c r="T271" i="9"/>
  <c r="T275" i="9"/>
  <c r="T279" i="9"/>
  <c r="T282" i="9"/>
  <c r="T285" i="9"/>
  <c r="T289" i="9"/>
  <c r="T293" i="9"/>
  <c r="T296" i="9"/>
  <c r="T299" i="9"/>
  <c r="T300" i="9"/>
  <c r="T301" i="9"/>
  <c r="T302" i="9"/>
  <c r="T304" i="9"/>
  <c r="T307" i="9"/>
  <c r="T311" i="9"/>
  <c r="T314" i="9"/>
  <c r="T318" i="9"/>
  <c r="T322" i="9"/>
  <c r="T325" i="9"/>
  <c r="T329" i="9"/>
  <c r="T332" i="9"/>
  <c r="T336" i="9"/>
  <c r="T337" i="9"/>
  <c r="T338" i="9"/>
  <c r="T339" i="9"/>
  <c r="T340" i="9"/>
  <c r="T343" i="9"/>
  <c r="T347" i="9"/>
  <c r="T351" i="9"/>
  <c r="T354" i="9"/>
  <c r="T356" i="9"/>
  <c r="T357" i="9"/>
  <c r="T359" i="9"/>
  <c r="T361" i="9"/>
  <c r="T362" i="9"/>
  <c r="T363" i="9"/>
  <c r="V115" i="9"/>
  <c r="T115" i="9"/>
  <c r="Y3" i="9"/>
  <c r="Y4" i="9"/>
  <c r="Y5" i="9"/>
  <c r="Y6" i="9"/>
  <c r="Y7" i="9"/>
  <c r="Y8" i="9"/>
  <c r="Y9" i="9"/>
  <c r="Y10" i="9"/>
  <c r="Y11" i="9"/>
  <c r="Y12" i="9"/>
  <c r="Y13" i="9"/>
  <c r="Y14" i="9"/>
  <c r="Y15" i="9"/>
  <c r="Y16" i="9"/>
  <c r="Y17" i="9"/>
  <c r="Y18" i="9"/>
  <c r="Y19" i="9"/>
  <c r="Y20" i="9"/>
  <c r="Y21" i="9"/>
  <c r="Y22" i="9"/>
  <c r="Y23" i="9"/>
  <c r="Y24" i="9"/>
  <c r="Y25" i="9"/>
  <c r="Y26" i="9"/>
  <c r="Y27" i="9"/>
  <c r="Y28" i="9"/>
  <c r="Y29" i="9"/>
  <c r="Y30" i="9"/>
  <c r="Y31" i="9"/>
  <c r="Y32" i="9"/>
  <c r="Y33" i="9"/>
  <c r="Y34" i="9"/>
  <c r="Y35" i="9"/>
  <c r="Y36" i="9"/>
  <c r="Y37" i="9"/>
  <c r="Y38" i="9"/>
  <c r="Y39" i="9"/>
  <c r="Y40" i="9"/>
  <c r="Y41" i="9"/>
  <c r="Y42" i="9"/>
  <c r="Y43" i="9"/>
  <c r="Y44" i="9"/>
  <c r="Y45" i="9"/>
  <c r="Y46" i="9"/>
  <c r="Y47" i="9"/>
  <c r="Y48" i="9"/>
  <c r="Y49" i="9"/>
  <c r="Y50" i="9"/>
  <c r="Y51" i="9"/>
  <c r="Y52" i="9"/>
  <c r="Y53" i="9"/>
  <c r="Y54" i="9"/>
  <c r="Y55" i="9"/>
  <c r="Y56" i="9"/>
  <c r="Y57" i="9"/>
  <c r="Y58" i="9"/>
  <c r="Y59" i="9"/>
  <c r="Y60" i="9"/>
  <c r="Y61" i="9"/>
  <c r="Y62" i="9"/>
  <c r="Y63" i="9"/>
  <c r="Y64" i="9"/>
  <c r="Y65" i="9"/>
  <c r="Y66" i="9"/>
  <c r="Y67" i="9"/>
  <c r="Y68" i="9"/>
  <c r="Y69" i="9"/>
  <c r="Y70" i="9"/>
  <c r="Y71" i="9"/>
  <c r="Y72" i="9"/>
  <c r="Y73" i="9"/>
  <c r="Y74" i="9"/>
  <c r="Y75" i="9"/>
  <c r="Y76" i="9"/>
  <c r="Y77" i="9"/>
  <c r="Y78" i="9"/>
  <c r="Y79" i="9"/>
  <c r="Y80" i="9"/>
  <c r="Y81" i="9"/>
  <c r="Y82" i="9"/>
  <c r="Y83" i="9"/>
  <c r="Y84" i="9"/>
  <c r="Y85" i="9"/>
  <c r="Y86" i="9"/>
  <c r="Y87" i="9"/>
  <c r="Y88" i="9"/>
  <c r="Y89" i="9"/>
  <c r="Y90" i="9"/>
  <c r="Y91" i="9"/>
  <c r="Y92" i="9"/>
  <c r="Y93" i="9"/>
  <c r="Y94" i="9"/>
  <c r="Y95" i="9"/>
  <c r="Y96" i="9"/>
  <c r="Y97" i="9"/>
  <c r="Y98" i="9"/>
  <c r="Y99" i="9"/>
  <c r="Y100" i="9"/>
  <c r="Y101" i="9"/>
  <c r="Y102" i="9"/>
  <c r="Y103" i="9"/>
  <c r="Y104" i="9"/>
  <c r="Y107" i="9"/>
  <c r="Y112" i="9"/>
  <c r="Y115" i="9"/>
  <c r="Y118" i="9"/>
  <c r="Y122" i="9"/>
  <c r="Y132" i="9"/>
  <c r="Y135" i="9"/>
  <c r="Y138" i="9"/>
  <c r="Y142" i="9"/>
  <c r="Y146" i="9"/>
  <c r="Y149" i="9"/>
  <c r="Y152" i="9"/>
  <c r="Y181" i="9"/>
  <c r="Y185" i="9"/>
  <c r="Y189" i="9"/>
  <c r="Y198" i="9"/>
  <c r="Y201" i="9"/>
  <c r="Y205" i="9"/>
  <c r="Y209" i="9"/>
  <c r="Y213" i="9"/>
  <c r="Y217" i="9"/>
  <c r="Y221" i="9"/>
  <c r="Y225" i="9"/>
  <c r="Y228" i="9"/>
  <c r="Y236" i="9"/>
  <c r="Y239" i="9"/>
  <c r="Y243" i="9"/>
  <c r="Y247" i="9"/>
  <c r="Y250" i="9"/>
  <c r="Y268" i="9"/>
  <c r="Y271" i="9"/>
  <c r="Y275" i="9"/>
  <c r="Y279" i="9"/>
  <c r="Y282" i="9"/>
  <c r="Y289" i="9"/>
  <c r="Y293" i="9"/>
  <c r="Y296" i="9"/>
  <c r="Y304" i="9"/>
  <c r="Y307" i="9"/>
  <c r="Y311" i="9"/>
  <c r="Y314" i="9"/>
  <c r="Y329" i="9"/>
  <c r="Y332" i="9"/>
  <c r="Y343" i="9"/>
  <c r="Y347" i="9"/>
  <c r="Y351" i="9"/>
  <c r="Y354" i="9"/>
  <c r="Y105" i="9"/>
  <c r="Y106" i="9"/>
  <c r="Y108" i="9"/>
  <c r="Y109" i="9"/>
  <c r="Y110" i="9"/>
  <c r="Y111" i="9"/>
  <c r="Y113" i="9"/>
  <c r="Y114" i="9"/>
  <c r="Y116" i="9"/>
  <c r="Y117" i="9"/>
  <c r="Y119" i="9"/>
  <c r="Y120" i="9"/>
  <c r="Y121" i="9"/>
  <c r="Y123" i="9"/>
  <c r="Y131" i="9"/>
  <c r="Y133" i="9"/>
  <c r="Y134" i="9"/>
  <c r="Y136" i="9"/>
  <c r="Y137" i="9"/>
  <c r="Y139" i="9"/>
  <c r="Y140" i="9"/>
  <c r="Y141" i="9"/>
  <c r="Y143" i="9"/>
  <c r="Y144" i="9"/>
  <c r="Y145" i="9"/>
  <c r="Y147" i="9"/>
  <c r="Y148" i="9"/>
  <c r="Y150" i="9"/>
  <c r="Y151" i="9"/>
  <c r="Y153" i="9"/>
  <c r="Y154" i="9"/>
  <c r="Y155" i="9"/>
  <c r="Y180" i="9"/>
  <c r="Y182" i="9"/>
  <c r="Y183" i="9"/>
  <c r="Y184" i="9"/>
  <c r="Y186" i="9"/>
  <c r="Y187" i="9"/>
  <c r="Y188" i="9"/>
  <c r="Y190" i="9"/>
  <c r="Y197" i="9"/>
  <c r="Y199" i="9"/>
  <c r="Y200" i="9"/>
  <c r="Y202" i="9"/>
  <c r="Y203" i="9"/>
  <c r="Y204" i="9"/>
  <c r="Y206" i="9"/>
  <c r="Y207" i="9"/>
  <c r="Y208" i="9"/>
  <c r="Y210" i="9"/>
  <c r="Y211" i="9"/>
  <c r="Y212" i="9"/>
  <c r="Y214" i="9"/>
  <c r="Y215" i="9"/>
  <c r="Y216" i="9"/>
  <c r="Y218" i="9"/>
  <c r="Y219" i="9"/>
  <c r="Y220" i="9"/>
  <c r="Y222" i="9"/>
  <c r="Y223" i="9"/>
  <c r="Y224" i="9"/>
  <c r="Y226" i="9"/>
  <c r="Y227" i="9"/>
  <c r="Y229" i="9"/>
  <c r="Y230" i="9"/>
  <c r="Y235" i="9"/>
  <c r="Y237" i="9"/>
  <c r="Y238" i="9"/>
  <c r="Y240" i="9"/>
  <c r="Y244" i="9"/>
  <c r="Y245" i="9"/>
  <c r="Y246" i="9"/>
  <c r="Y248" i="9"/>
  <c r="Y249" i="9"/>
  <c r="Y251" i="9"/>
  <c r="Y252" i="9"/>
  <c r="Y253" i="9"/>
  <c r="Y269" i="9"/>
  <c r="Y270" i="9"/>
  <c r="Y272" i="9"/>
  <c r="Y273" i="9"/>
  <c r="Y274" i="9"/>
  <c r="Y276" i="9"/>
  <c r="Y277" i="9"/>
  <c r="Y278" i="9"/>
  <c r="Y280" i="9"/>
  <c r="Y281" i="9"/>
  <c r="Y283" i="9"/>
  <c r="Y284" i="9"/>
  <c r="Y287" i="9"/>
  <c r="Y288" i="9"/>
  <c r="Y290" i="9"/>
  <c r="Y291" i="9"/>
  <c r="Y292" i="9"/>
  <c r="Y294" i="9"/>
  <c r="Y295" i="9"/>
  <c r="Y297" i="9"/>
  <c r="Y298" i="9"/>
  <c r="Y305" i="9"/>
  <c r="Y306" i="9"/>
  <c r="Y308" i="9"/>
  <c r="Y309" i="9"/>
  <c r="Y310" i="9"/>
  <c r="Y312" i="9"/>
  <c r="Y313" i="9"/>
  <c r="Y315" i="9"/>
  <c r="Y326" i="9"/>
  <c r="Y327" i="9"/>
  <c r="Y328" i="9"/>
  <c r="Y330" i="9"/>
  <c r="Y331" i="9"/>
  <c r="Y333" i="9"/>
  <c r="Y342" i="9"/>
  <c r="Y344" i="9"/>
  <c r="Y345" i="9"/>
  <c r="Y346" i="9"/>
  <c r="Y348" i="9"/>
  <c r="Y350" i="9"/>
  <c r="Y352" i="9"/>
  <c r="Y353" i="9"/>
  <c r="Y355" i="9"/>
  <c r="Y2" i="9"/>
  <c r="W365" i="9" a="1"/>
  <c r="X365" i="9" a="1"/>
  <c r="X365" i="9" l="1"/>
  <c r="W365" i="9"/>
  <c r="AA2" i="9"/>
  <c r="AA3" i="9"/>
  <c r="AA4" i="9"/>
  <c r="AA5" i="9"/>
  <c r="AA6" i="9"/>
  <c r="AA7" i="9"/>
  <c r="AA8" i="9"/>
  <c r="AA9" i="9"/>
  <c r="AA10" i="9"/>
  <c r="AA11" i="9"/>
  <c r="AA12" i="9"/>
  <c r="AA13" i="9"/>
  <c r="AA14" i="9"/>
  <c r="AA15" i="9"/>
  <c r="AA16" i="9"/>
  <c r="AA17" i="9"/>
  <c r="AA18" i="9"/>
  <c r="AA19" i="9"/>
  <c r="AA20" i="9"/>
  <c r="AA21" i="9"/>
  <c r="AA22" i="9"/>
  <c r="AA23" i="9"/>
  <c r="AA24" i="9"/>
  <c r="AA25" i="9"/>
  <c r="AA26" i="9"/>
  <c r="AA27" i="9"/>
  <c r="AA28" i="9"/>
  <c r="AA29" i="9"/>
  <c r="AA30" i="9"/>
  <c r="AA31" i="9"/>
  <c r="AA32" i="9"/>
  <c r="AA33" i="9"/>
  <c r="AA34" i="9"/>
  <c r="AA35" i="9"/>
  <c r="AA36" i="9"/>
  <c r="AA37" i="9"/>
  <c r="AA38" i="9"/>
  <c r="AA39" i="9"/>
  <c r="AA40" i="9"/>
  <c r="AA41" i="9"/>
  <c r="AA42" i="9"/>
  <c r="AA43" i="9"/>
  <c r="AA44" i="9"/>
  <c r="AA45" i="9"/>
  <c r="AA46" i="9"/>
  <c r="AA47" i="9"/>
  <c r="AA48" i="9"/>
  <c r="AA49" i="9"/>
  <c r="AA50" i="9"/>
  <c r="AA51" i="9"/>
  <c r="AA52" i="9"/>
  <c r="AA53" i="9"/>
  <c r="AA54" i="9"/>
  <c r="AA55" i="9"/>
  <c r="AA56" i="9"/>
  <c r="AA57" i="9"/>
  <c r="AA58" i="9"/>
  <c r="AA59" i="9"/>
  <c r="AA60" i="9"/>
  <c r="AA61" i="9"/>
  <c r="AA62" i="9"/>
  <c r="AA63" i="9"/>
  <c r="AA64" i="9"/>
  <c r="AA65" i="9"/>
  <c r="AA66" i="9"/>
  <c r="AA67" i="9"/>
  <c r="AA68" i="9"/>
  <c r="AA69" i="9"/>
  <c r="AA70" i="9"/>
  <c r="AA71" i="9"/>
  <c r="AA72" i="9"/>
  <c r="AA73" i="9"/>
  <c r="AA74" i="9"/>
  <c r="AA75" i="9"/>
  <c r="AA76" i="9"/>
  <c r="AA77" i="9"/>
  <c r="AA78" i="9"/>
  <c r="AA79" i="9"/>
  <c r="AA80" i="9"/>
  <c r="AA81" i="9"/>
  <c r="AA82" i="9"/>
  <c r="AA83" i="9"/>
  <c r="AA84" i="9"/>
  <c r="AA85" i="9"/>
  <c r="AA86" i="9"/>
  <c r="AA87" i="9"/>
  <c r="AA88" i="9"/>
  <c r="AA89" i="9"/>
  <c r="AA90" i="9"/>
  <c r="AA91" i="9"/>
  <c r="AA92" i="9"/>
  <c r="AA93" i="9"/>
  <c r="AA94" i="9"/>
  <c r="AA95" i="9"/>
  <c r="AA96" i="9"/>
  <c r="AA97" i="9"/>
  <c r="AA98" i="9"/>
  <c r="AA99" i="9"/>
  <c r="AA100" i="9"/>
  <c r="AA101" i="9"/>
  <c r="AA102" i="9"/>
  <c r="AA103" i="9"/>
  <c r="AA104" i="9"/>
  <c r="AA107" i="9"/>
  <c r="AA112" i="9"/>
  <c r="AA115" i="9"/>
  <c r="AA118" i="9"/>
  <c r="AA122" i="9"/>
  <c r="AA124" i="9"/>
  <c r="AA125" i="9"/>
  <c r="AA126" i="9"/>
  <c r="AA127" i="9"/>
  <c r="AA128" i="9"/>
  <c r="AA129" i="9"/>
  <c r="AA132" i="9"/>
  <c r="AA135" i="9"/>
  <c r="AA138" i="9"/>
  <c r="AA142" i="9"/>
  <c r="AA146" i="9"/>
  <c r="AA149" i="9"/>
  <c r="AA152" i="9"/>
  <c r="AA156" i="9"/>
  <c r="AA157" i="9"/>
  <c r="AA160" i="9"/>
  <c r="AA163" i="9"/>
  <c r="AA167" i="9"/>
  <c r="AA171" i="9"/>
  <c r="AA174" i="9"/>
  <c r="AA178" i="9"/>
  <c r="AA181" i="9"/>
  <c r="AA185" i="9"/>
  <c r="AA189" i="9"/>
  <c r="AA191" i="9"/>
  <c r="AA192" i="9"/>
  <c r="AA193" i="9"/>
  <c r="AA194" i="9"/>
  <c r="AA195" i="9"/>
  <c r="AA198" i="9"/>
  <c r="AA201" i="9"/>
  <c r="AA205" i="9"/>
  <c r="AA209" i="9"/>
  <c r="AA213" i="9"/>
  <c r="AA217" i="9"/>
  <c r="AA221" i="9"/>
  <c r="AA225" i="9"/>
  <c r="AA228" i="9"/>
  <c r="AA231" i="9"/>
  <c r="AA232" i="9"/>
  <c r="AA233" i="9"/>
  <c r="AA236" i="9"/>
  <c r="AA239" i="9"/>
  <c r="AA243" i="9"/>
  <c r="AA247" i="9"/>
  <c r="AA250" i="9"/>
  <c r="AA254" i="9"/>
  <c r="AA257" i="9"/>
  <c r="AA261" i="9"/>
  <c r="AA264" i="9"/>
  <c r="AA268" i="9"/>
  <c r="AA271" i="9"/>
  <c r="AA275" i="9"/>
  <c r="AA279" i="9"/>
  <c r="AA282" i="9"/>
  <c r="AA285" i="9"/>
  <c r="AA289" i="9"/>
  <c r="AA293" i="9"/>
  <c r="AA296" i="9"/>
  <c r="AA299" i="9"/>
  <c r="AA300" i="9"/>
  <c r="AA301" i="9"/>
  <c r="AA302" i="9"/>
  <c r="AA304" i="9"/>
  <c r="AA307" i="9"/>
  <c r="AA311" i="9"/>
  <c r="AA314" i="9"/>
  <c r="AA318" i="9"/>
  <c r="AA322" i="9"/>
  <c r="AA325" i="9"/>
  <c r="AA329" i="9"/>
  <c r="AA332" i="9"/>
  <c r="AA336" i="9"/>
  <c r="AA337" i="9"/>
  <c r="AA338" i="9"/>
  <c r="AA339" i="9"/>
  <c r="AA340" i="9"/>
  <c r="AA343" i="9"/>
  <c r="AA347" i="9"/>
  <c r="AA351" i="9"/>
  <c r="AA354" i="9"/>
  <c r="AA356" i="9"/>
  <c r="AA357" i="9"/>
  <c r="AA359" i="9"/>
  <c r="AA361" i="9"/>
  <c r="AA362" i="9"/>
  <c r="AA363" i="9"/>
  <c r="AA105" i="9"/>
  <c r="AA106" i="9"/>
  <c r="AA108" i="9"/>
  <c r="AA109" i="9"/>
  <c r="AA110" i="9"/>
  <c r="AA111" i="9"/>
  <c r="AA113" i="9"/>
  <c r="AA114" i="9"/>
  <c r="AA116" i="9"/>
  <c r="AA117" i="9"/>
  <c r="AA119" i="9"/>
  <c r="AA120" i="9"/>
  <c r="AA121" i="9"/>
  <c r="AA123" i="9"/>
  <c r="AA130" i="9"/>
  <c r="AA131" i="9"/>
  <c r="AA133" i="9"/>
  <c r="AA134" i="9"/>
  <c r="AA136" i="9"/>
  <c r="AA137" i="9"/>
  <c r="AA139" i="9"/>
  <c r="AA140" i="9"/>
  <c r="AA141" i="9"/>
  <c r="AA143" i="9"/>
  <c r="AA144" i="9"/>
  <c r="AA145" i="9"/>
  <c r="AA147" i="9"/>
  <c r="AA148" i="9"/>
  <c r="AA150" i="9"/>
  <c r="AA151" i="9"/>
  <c r="AA153" i="9"/>
  <c r="AA154" i="9"/>
  <c r="AA155" i="9"/>
  <c r="AA158" i="9"/>
  <c r="AA159" i="9"/>
  <c r="AA161" i="9"/>
  <c r="AA162" i="9"/>
  <c r="AA164" i="9"/>
  <c r="AA165" i="9"/>
  <c r="AA166" i="9"/>
  <c r="AA168" i="9"/>
  <c r="AA169" i="9"/>
  <c r="AA170" i="9"/>
  <c r="AA172" i="9"/>
  <c r="AA173" i="9"/>
  <c r="AA175" i="9"/>
  <c r="AA176" i="9"/>
  <c r="AA177" i="9"/>
  <c r="AA179" i="9"/>
  <c r="AA180" i="9"/>
  <c r="AA182" i="9"/>
  <c r="AA183" i="9"/>
  <c r="AA184" i="9"/>
  <c r="AA186" i="9"/>
  <c r="AA187" i="9"/>
  <c r="AA188" i="9"/>
  <c r="AA190" i="9"/>
  <c r="AA196" i="9"/>
  <c r="AA197" i="9"/>
  <c r="AA199" i="9"/>
  <c r="AA200" i="9"/>
  <c r="AA202" i="9"/>
  <c r="AA203" i="9"/>
  <c r="AA204" i="9"/>
  <c r="AA206" i="9"/>
  <c r="AA207" i="9"/>
  <c r="AA208" i="9"/>
  <c r="AA210" i="9"/>
  <c r="AA211" i="9"/>
  <c r="AA212" i="9"/>
  <c r="AA214" i="9"/>
  <c r="AA215" i="9"/>
  <c r="AA216" i="9"/>
  <c r="AA218" i="9"/>
  <c r="AA219" i="9"/>
  <c r="AA220" i="9"/>
  <c r="AA222" i="9"/>
  <c r="AA223" i="9"/>
  <c r="AA224" i="9"/>
  <c r="AA226" i="9"/>
  <c r="AA227" i="9"/>
  <c r="AA229" i="9"/>
  <c r="AA230" i="9"/>
  <c r="AA234" i="9"/>
  <c r="AA235" i="9"/>
  <c r="AA237" i="9"/>
  <c r="AA238" i="9"/>
  <c r="AA240" i="9"/>
  <c r="AA241" i="9"/>
  <c r="AA242" i="9"/>
  <c r="AA244" i="9"/>
  <c r="AA245" i="9"/>
  <c r="AA246" i="9"/>
  <c r="AA248" i="9"/>
  <c r="AA249" i="9"/>
  <c r="AA251" i="9"/>
  <c r="AA252" i="9"/>
  <c r="AA253" i="9"/>
  <c r="AA255" i="9"/>
  <c r="AA256" i="9"/>
  <c r="AA258" i="9"/>
  <c r="AA259" i="9"/>
  <c r="AA260" i="9"/>
  <c r="AA262" i="9"/>
  <c r="AA263" i="9"/>
  <c r="AA265" i="9"/>
  <c r="AA266" i="9"/>
  <c r="AA267" i="9"/>
  <c r="AA269" i="9"/>
  <c r="AA270" i="9"/>
  <c r="AA272" i="9"/>
  <c r="AA273" i="9"/>
  <c r="AA274" i="9"/>
  <c r="AA276" i="9"/>
  <c r="AA277" i="9"/>
  <c r="AA278" i="9"/>
  <c r="AA280" i="9"/>
  <c r="AA281" i="9"/>
  <c r="AA283" i="9"/>
  <c r="AA284" i="9"/>
  <c r="AA286" i="9"/>
  <c r="AA287" i="9"/>
  <c r="AA288" i="9"/>
  <c r="AA290" i="9"/>
  <c r="AA291" i="9"/>
  <c r="AA292" i="9"/>
  <c r="AA294" i="9"/>
  <c r="AA295" i="9"/>
  <c r="AA297" i="9"/>
  <c r="AA298" i="9"/>
  <c r="AA303" i="9"/>
  <c r="AA305" i="9"/>
  <c r="AA306" i="9"/>
  <c r="AA308" i="9"/>
  <c r="AA309" i="9"/>
  <c r="AA310" i="9"/>
  <c r="AA312" i="9"/>
  <c r="AA313" i="9"/>
  <c r="AA315" i="9"/>
  <c r="AA316" i="9"/>
  <c r="AA317" i="9"/>
  <c r="AA319" i="9"/>
  <c r="AA320" i="9"/>
  <c r="AA321" i="9"/>
  <c r="AA323" i="9"/>
  <c r="AA324" i="9"/>
  <c r="AA326" i="9"/>
  <c r="AA327" i="9"/>
  <c r="AA328" i="9"/>
  <c r="AA330" i="9"/>
  <c r="AA331" i="9"/>
  <c r="AA333" i="9"/>
  <c r="AA334" i="9"/>
  <c r="AA335" i="9"/>
  <c r="AA341" i="9"/>
  <c r="AA342" i="9"/>
  <c r="AA344" i="9"/>
  <c r="AA345" i="9"/>
  <c r="AA346" i="9"/>
  <c r="AA348" i="9"/>
  <c r="AA349" i="9"/>
  <c r="AA350" i="9"/>
  <c r="AA352" i="9"/>
  <c r="AA353" i="9"/>
  <c r="AA355" i="9"/>
  <c r="AA358" i="9"/>
  <c r="AA360" i="9"/>
  <c r="AA364" i="9"/>
  <c r="E5" i="8" a="1"/>
  <c r="E5" i="8" s="1"/>
  <c r="E6" i="8" a="1"/>
  <c r="E6" i="8" s="1"/>
  <c r="E7" i="8" a="1"/>
  <c r="E7" i="8" s="1"/>
  <c r="E8" i="8" a="1"/>
  <c r="E8" i="8" s="1"/>
  <c r="E9" i="8" a="1"/>
  <c r="E9" i="8" s="1"/>
  <c r="E10" i="8" a="1"/>
  <c r="E10" i="8" s="1"/>
  <c r="D5" i="8" a="1"/>
  <c r="D5" i="8" s="1"/>
  <c r="D6" i="8" a="1"/>
  <c r="D6" i="8" s="1"/>
  <c r="D7" i="8" a="1"/>
  <c r="D7" i="8" s="1"/>
  <c r="D8" i="8" a="1"/>
  <c r="D8" i="8" s="1"/>
  <c r="D9" i="8" a="1"/>
  <c r="D9" i="8" s="1"/>
  <c r="D10" i="8" a="1"/>
  <c r="D10" i="8" s="1"/>
  <c r="C5" i="8" l="1"/>
  <c r="C10" i="8"/>
  <c r="C9" i="8"/>
  <c r="C8" i="8"/>
  <c r="C7" i="8"/>
  <c r="C6" i="8"/>
  <c r="D12" i="8" l="1" a="1"/>
  <c r="D12" i="8" s="1"/>
  <c r="E12" i="8" a="1"/>
  <c r="E12" i="8" s="1"/>
  <c r="D13" i="8" a="1"/>
  <c r="D13" i="8" s="1"/>
  <c r="E13" i="8" a="1"/>
  <c r="E13" i="8" s="1"/>
  <c r="D14" i="8" a="1"/>
  <c r="D14" i="8" s="1"/>
  <c r="E14" i="8" a="1"/>
  <c r="E14" i="8" s="1"/>
  <c r="D15" i="8" a="1"/>
  <c r="D15" i="8" s="1"/>
  <c r="E15" i="8" a="1"/>
  <c r="E15" i="8" s="1"/>
  <c r="D16" i="8" a="1"/>
  <c r="D16" i="8" s="1"/>
  <c r="E16" i="8" a="1"/>
  <c r="E16" i="8" s="1"/>
  <c r="D17" i="8" a="1"/>
  <c r="D17" i="8" s="1"/>
  <c r="E17" i="8" a="1"/>
  <c r="E17" i="8" s="1"/>
  <c r="D18" i="8" a="1"/>
  <c r="D18" i="8" s="1"/>
  <c r="E18" i="8" a="1"/>
  <c r="E18" i="8" s="1"/>
  <c r="D19" i="8" a="1"/>
  <c r="D19" i="8" s="1"/>
  <c r="E19" i="8" a="1"/>
  <c r="E19" i="8" s="1"/>
  <c r="D20" i="8" a="1"/>
  <c r="D20" i="8" s="1"/>
  <c r="E20" i="8" a="1"/>
  <c r="E20" i="8" s="1"/>
  <c r="D21" i="8" a="1"/>
  <c r="D21" i="8" s="1"/>
  <c r="E21" i="8" a="1"/>
  <c r="E21" i="8" s="1"/>
  <c r="D22" i="8" a="1"/>
  <c r="D22" i="8" s="1"/>
  <c r="E22" i="8" a="1"/>
  <c r="E22" i="8" s="1"/>
  <c r="D23" i="8" a="1"/>
  <c r="D23" i="8" s="1"/>
  <c r="E23" i="8" a="1"/>
  <c r="E23" i="8" s="1"/>
  <c r="D24" i="8" a="1"/>
  <c r="D24" i="8" s="1"/>
  <c r="E24" i="8" a="1"/>
  <c r="E24" i="8" s="1"/>
  <c r="D25" i="8" a="1"/>
  <c r="D25" i="8" s="1"/>
  <c r="E25" i="8" a="1"/>
  <c r="E25" i="8" s="1"/>
  <c r="D26" i="8" a="1"/>
  <c r="D26" i="8" s="1"/>
  <c r="E26" i="8" a="1"/>
  <c r="E26" i="8" s="1"/>
  <c r="D27" i="8" a="1"/>
  <c r="D27" i="8" s="1"/>
  <c r="E27" i="8" a="1"/>
  <c r="E27" i="8" s="1"/>
  <c r="D28" i="8" a="1"/>
  <c r="D28" i="8" s="1"/>
  <c r="C28" i="8" s="1"/>
  <c r="E28" i="8" a="1"/>
  <c r="E28" i="8" s="1"/>
  <c r="D29" i="8" a="1"/>
  <c r="D29" i="8" s="1"/>
  <c r="E29" i="8" a="1"/>
  <c r="E29" i="8" s="1"/>
  <c r="D30" i="8" a="1"/>
  <c r="D30" i="8" s="1"/>
  <c r="E30" i="8" a="1"/>
  <c r="E30" i="8" s="1"/>
  <c r="D31" i="8" a="1"/>
  <c r="D31" i="8" s="1"/>
  <c r="E31" i="8" a="1"/>
  <c r="E31" i="8" s="1"/>
  <c r="D32" i="8" a="1"/>
  <c r="D32" i="8" s="1"/>
  <c r="E32" i="8" a="1"/>
  <c r="E32" i="8" s="1"/>
  <c r="D33" i="8" a="1"/>
  <c r="D33" i="8" s="1"/>
  <c r="E33" i="8" a="1"/>
  <c r="E33" i="8" s="1"/>
  <c r="D34" i="8" a="1"/>
  <c r="D34" i="8" s="1"/>
  <c r="C34" i="8" s="1"/>
  <c r="E34" i="8" a="1"/>
  <c r="E34" i="8" s="1"/>
  <c r="D35" i="8" a="1"/>
  <c r="D35" i="8" s="1"/>
  <c r="E35" i="8" a="1"/>
  <c r="E35" i="8" s="1"/>
  <c r="D36" i="8" a="1"/>
  <c r="D36" i="8" s="1"/>
  <c r="E36" i="8" a="1"/>
  <c r="E36" i="8" s="1"/>
  <c r="D37" i="8" a="1"/>
  <c r="D37" i="8" s="1"/>
  <c r="E37" i="8" a="1"/>
  <c r="E37" i="8" s="1"/>
  <c r="D38" i="8" a="1"/>
  <c r="D38" i="8" s="1"/>
  <c r="E38" i="8" a="1"/>
  <c r="E38" i="8" s="1"/>
  <c r="D39" i="8" a="1"/>
  <c r="D39" i="8" s="1"/>
  <c r="E39" i="8" a="1"/>
  <c r="E39" i="8" s="1"/>
  <c r="D40" i="8" a="1"/>
  <c r="D40" i="8" s="1"/>
  <c r="C40" i="8" s="1"/>
  <c r="E40" i="8" a="1"/>
  <c r="E40" i="8" s="1"/>
  <c r="D41" i="8" a="1"/>
  <c r="D41" i="8" s="1"/>
  <c r="E41" i="8" a="1"/>
  <c r="E41" i="8" s="1"/>
  <c r="D42" i="8" a="1"/>
  <c r="D42" i="8" s="1"/>
  <c r="E42" i="8" a="1"/>
  <c r="E42" i="8" s="1"/>
  <c r="D43" i="8" a="1"/>
  <c r="D43" i="8" s="1"/>
  <c r="E43" i="8" a="1"/>
  <c r="E43" i="8" s="1"/>
  <c r="D44" i="8" a="1"/>
  <c r="D44" i="8" s="1"/>
  <c r="E44" i="8" a="1"/>
  <c r="E44" i="8" s="1"/>
  <c r="D45" i="8" a="1"/>
  <c r="D45" i="8" s="1"/>
  <c r="E45" i="8" a="1"/>
  <c r="E45" i="8" s="1"/>
  <c r="D46" i="8" a="1"/>
  <c r="D46" i="8" s="1"/>
  <c r="C46" i="8" s="1"/>
  <c r="E46" i="8" a="1"/>
  <c r="E46" i="8" s="1"/>
  <c r="D47" i="8" a="1"/>
  <c r="D47" i="8" s="1"/>
  <c r="E47" i="8" a="1"/>
  <c r="E47" i="8" s="1"/>
  <c r="D48" i="8" a="1"/>
  <c r="D48" i="8" s="1"/>
  <c r="E48" i="8" a="1"/>
  <c r="E48" i="8" s="1"/>
  <c r="D49" i="8" a="1"/>
  <c r="D49" i="8" s="1"/>
  <c r="E49" i="8" a="1"/>
  <c r="E49" i="8" s="1"/>
  <c r="D50" i="8" a="1"/>
  <c r="D50" i="8" s="1"/>
  <c r="E50" i="8" a="1"/>
  <c r="E50" i="8" s="1"/>
  <c r="D51" i="8" a="1"/>
  <c r="D51" i="8" s="1"/>
  <c r="E51" i="8" a="1"/>
  <c r="E51" i="8" s="1"/>
  <c r="D52" i="8" a="1"/>
  <c r="D52" i="8" s="1"/>
  <c r="C52" i="8" s="1"/>
  <c r="E52" i="8" a="1"/>
  <c r="E52" i="8" s="1"/>
  <c r="D53" i="8" a="1"/>
  <c r="D53" i="8" s="1"/>
  <c r="E53" i="8" a="1"/>
  <c r="E53" i="8" s="1"/>
  <c r="D54" i="8" a="1"/>
  <c r="D54" i="8" s="1"/>
  <c r="E54" i="8" a="1"/>
  <c r="E54" i="8" s="1"/>
  <c r="D55" i="8" a="1"/>
  <c r="D55" i="8" s="1"/>
  <c r="E55" i="8" a="1"/>
  <c r="E55" i="8" s="1"/>
  <c r="D56" i="8" a="1"/>
  <c r="D56" i="8" s="1"/>
  <c r="E56" i="8" a="1"/>
  <c r="E56" i="8" s="1"/>
  <c r="D57" i="8" a="1"/>
  <c r="D57" i="8" s="1"/>
  <c r="E57" i="8" a="1"/>
  <c r="E57" i="8" s="1"/>
  <c r="D58" i="8" a="1"/>
  <c r="D58" i="8" s="1"/>
  <c r="C58" i="8" s="1"/>
  <c r="E58" i="8" a="1"/>
  <c r="E58" i="8" s="1"/>
  <c r="D59" i="8" a="1"/>
  <c r="D59" i="8" s="1"/>
  <c r="E59" i="8" a="1"/>
  <c r="E59" i="8" s="1"/>
  <c r="D60" i="8" a="1"/>
  <c r="D60" i="8" s="1"/>
  <c r="E60" i="8" a="1"/>
  <c r="E60" i="8" s="1"/>
  <c r="D61" i="8" a="1"/>
  <c r="D61" i="8" s="1"/>
  <c r="E61" i="8" a="1"/>
  <c r="E61" i="8" s="1"/>
  <c r="D62" i="8" a="1"/>
  <c r="D62" i="8" s="1"/>
  <c r="E62" i="8" a="1"/>
  <c r="E62" i="8" s="1"/>
  <c r="D63" i="8" a="1"/>
  <c r="D63" i="8" s="1"/>
  <c r="E63" i="8" a="1"/>
  <c r="E63" i="8" s="1"/>
  <c r="D64" i="8" a="1"/>
  <c r="D64" i="8" s="1"/>
  <c r="C64" i="8" s="1"/>
  <c r="E64" i="8" a="1"/>
  <c r="E64" i="8" s="1"/>
  <c r="D65" i="8" a="1"/>
  <c r="D65" i="8" s="1"/>
  <c r="E65" i="8" a="1"/>
  <c r="E65" i="8" s="1"/>
  <c r="D66" i="8" a="1"/>
  <c r="D66" i="8" s="1"/>
  <c r="E66" i="8" a="1"/>
  <c r="E66" i="8" s="1"/>
  <c r="D67" i="8" a="1"/>
  <c r="D67" i="8" s="1"/>
  <c r="E67" i="8" a="1"/>
  <c r="E67" i="8" s="1"/>
  <c r="D68" i="8" a="1"/>
  <c r="D68" i="8" s="1"/>
  <c r="E68" i="8" a="1"/>
  <c r="E68" i="8" s="1"/>
  <c r="D69" i="8" a="1"/>
  <c r="D69" i="8" s="1"/>
  <c r="E69" i="8" a="1"/>
  <c r="E69" i="8" s="1"/>
  <c r="D70" i="8" a="1"/>
  <c r="D70" i="8" s="1"/>
  <c r="C70" i="8" s="1"/>
  <c r="E70" i="8" a="1"/>
  <c r="E70" i="8" s="1"/>
  <c r="D71" i="8" a="1"/>
  <c r="D71" i="8" s="1"/>
  <c r="E71" i="8" a="1"/>
  <c r="E71" i="8" s="1"/>
  <c r="D72" i="8" a="1"/>
  <c r="D72" i="8" s="1"/>
  <c r="E72" i="8" a="1"/>
  <c r="E72" i="8" s="1"/>
  <c r="D73" i="8" a="1"/>
  <c r="D73" i="8" s="1"/>
  <c r="E73" i="8" a="1"/>
  <c r="E73" i="8" s="1"/>
  <c r="D74" i="8" a="1"/>
  <c r="D74" i="8" s="1"/>
  <c r="E74" i="8" a="1"/>
  <c r="E74" i="8" s="1"/>
  <c r="D75" i="8" a="1"/>
  <c r="D75" i="8" s="1"/>
  <c r="E75" i="8" a="1"/>
  <c r="E75" i="8" s="1"/>
  <c r="D76" i="8" a="1"/>
  <c r="D76" i="8" s="1"/>
  <c r="C76" i="8" s="1"/>
  <c r="E76" i="8" a="1"/>
  <c r="E76" i="8" s="1"/>
  <c r="D77" i="8" a="1"/>
  <c r="D77" i="8" s="1"/>
  <c r="E77" i="8" a="1"/>
  <c r="E77" i="8" s="1"/>
  <c r="D78" i="8" a="1"/>
  <c r="D78" i="8" s="1"/>
  <c r="E78" i="8" a="1"/>
  <c r="E78" i="8" s="1"/>
  <c r="D79" i="8" a="1"/>
  <c r="D79" i="8" s="1"/>
  <c r="E79" i="8" a="1"/>
  <c r="E79" i="8" s="1"/>
  <c r="D80" i="8" a="1"/>
  <c r="D80" i="8" s="1"/>
  <c r="E80" i="8" a="1"/>
  <c r="E80" i="8" s="1"/>
  <c r="D81" i="8" a="1"/>
  <c r="D81" i="8" s="1"/>
  <c r="E81" i="8" a="1"/>
  <c r="E81" i="8" s="1"/>
  <c r="D82" i="8" a="1"/>
  <c r="D82" i="8" s="1"/>
  <c r="C82" i="8" s="1"/>
  <c r="E82" i="8" a="1"/>
  <c r="E82" i="8" s="1"/>
  <c r="D83" i="8" a="1"/>
  <c r="D83" i="8" s="1"/>
  <c r="E83" i="8" a="1"/>
  <c r="E83" i="8" s="1"/>
  <c r="D84" i="8" a="1"/>
  <c r="D84" i="8" s="1"/>
  <c r="E84" i="8" a="1"/>
  <c r="E84" i="8" s="1"/>
  <c r="D85" i="8" a="1"/>
  <c r="D85" i="8" s="1"/>
  <c r="E85" i="8" a="1"/>
  <c r="E85" i="8" s="1"/>
  <c r="D86" i="8" a="1"/>
  <c r="D86" i="8" s="1"/>
  <c r="E86" i="8" a="1"/>
  <c r="E86" i="8" s="1"/>
  <c r="D87" i="8" a="1"/>
  <c r="D87" i="8" s="1"/>
  <c r="E87" i="8" a="1"/>
  <c r="E87" i="8" s="1"/>
  <c r="D88" i="8" a="1"/>
  <c r="D88" i="8" s="1"/>
  <c r="C88" i="8" s="1"/>
  <c r="E88" i="8" a="1"/>
  <c r="E88" i="8" s="1"/>
  <c r="D89" i="8" a="1"/>
  <c r="D89" i="8" s="1"/>
  <c r="E89" i="8" a="1"/>
  <c r="E89" i="8" s="1"/>
  <c r="D90" i="8" a="1"/>
  <c r="D90" i="8" s="1"/>
  <c r="E90" i="8" a="1"/>
  <c r="E90" i="8" s="1"/>
  <c r="D91" i="8" a="1"/>
  <c r="D91" i="8" s="1"/>
  <c r="E91" i="8" a="1"/>
  <c r="E91" i="8" s="1"/>
  <c r="D92" i="8" a="1"/>
  <c r="D92" i="8" s="1"/>
  <c r="E92" i="8" a="1"/>
  <c r="E92" i="8" s="1"/>
  <c r="D93" i="8" a="1"/>
  <c r="D93" i="8" s="1"/>
  <c r="E93" i="8" a="1"/>
  <c r="E93" i="8" s="1"/>
  <c r="D94" i="8" a="1"/>
  <c r="D94" i="8" s="1"/>
  <c r="C94" i="8" s="1"/>
  <c r="E94" i="8" a="1"/>
  <c r="E94" i="8" s="1"/>
  <c r="D95" i="8" a="1"/>
  <c r="D95" i="8" s="1"/>
  <c r="E95" i="8" a="1"/>
  <c r="E95" i="8" s="1"/>
  <c r="D96" i="8" a="1"/>
  <c r="D96" i="8" s="1"/>
  <c r="E96" i="8" a="1"/>
  <c r="E96" i="8" s="1"/>
  <c r="D97" i="8" a="1"/>
  <c r="D97" i="8" s="1"/>
  <c r="E97" i="8" a="1"/>
  <c r="E97" i="8" s="1"/>
  <c r="D98" i="8" a="1"/>
  <c r="D98" i="8" s="1"/>
  <c r="E98" i="8" a="1"/>
  <c r="E98" i="8" s="1"/>
  <c r="D99" i="8" a="1"/>
  <c r="D99" i="8" s="1"/>
  <c r="E99" i="8" a="1"/>
  <c r="E99" i="8" s="1"/>
  <c r="D100" i="8" a="1"/>
  <c r="D100" i="8" s="1"/>
  <c r="C100" i="8" s="1"/>
  <c r="E100" i="8" a="1"/>
  <c r="E100" i="8" s="1"/>
  <c r="D101" i="8" a="1"/>
  <c r="D101" i="8" s="1"/>
  <c r="E101" i="8" a="1"/>
  <c r="E101" i="8" s="1"/>
  <c r="D102" i="8" a="1"/>
  <c r="D102" i="8" s="1"/>
  <c r="E102" i="8" a="1"/>
  <c r="E102" i="8" s="1"/>
  <c r="D103" i="8" a="1"/>
  <c r="D103" i="8" s="1"/>
  <c r="E103" i="8" a="1"/>
  <c r="E103" i="8" s="1"/>
  <c r="D104" i="8" a="1"/>
  <c r="D104" i="8" s="1"/>
  <c r="E104" i="8" a="1"/>
  <c r="E104" i="8" s="1"/>
  <c r="D105" i="8" a="1"/>
  <c r="D105" i="8" s="1"/>
  <c r="E105" i="8" a="1"/>
  <c r="E105" i="8" s="1"/>
  <c r="D106" i="8" a="1"/>
  <c r="D106" i="8" s="1"/>
  <c r="C106" i="8" s="1"/>
  <c r="E106" i="8" a="1"/>
  <c r="E106" i="8" s="1"/>
  <c r="D107" i="8" a="1"/>
  <c r="D107" i="8" s="1"/>
  <c r="E107" i="8" a="1"/>
  <c r="E107" i="8" s="1"/>
  <c r="D108" i="8" a="1"/>
  <c r="D108" i="8" s="1"/>
  <c r="E108" i="8" a="1"/>
  <c r="E108" i="8" s="1"/>
  <c r="D109" i="8" a="1"/>
  <c r="D109" i="8" s="1"/>
  <c r="E109" i="8" a="1"/>
  <c r="E109" i="8" s="1"/>
  <c r="D110" i="8" a="1"/>
  <c r="D110" i="8" s="1"/>
  <c r="E110" i="8" a="1"/>
  <c r="E110" i="8" s="1"/>
  <c r="D111" i="8" a="1"/>
  <c r="D111" i="8" s="1"/>
  <c r="E111" i="8" a="1"/>
  <c r="E111" i="8" s="1"/>
  <c r="D112" i="8" a="1"/>
  <c r="D112" i="8" s="1"/>
  <c r="C112" i="8" s="1"/>
  <c r="E112" i="8" a="1"/>
  <c r="E112" i="8" s="1"/>
  <c r="D113" i="8" a="1"/>
  <c r="D113" i="8" s="1"/>
  <c r="E113" i="8" a="1"/>
  <c r="E113" i="8" s="1"/>
  <c r="D114" i="8" a="1"/>
  <c r="D114" i="8" s="1"/>
  <c r="E114" i="8" a="1"/>
  <c r="E114" i="8" s="1"/>
  <c r="D115" i="8" a="1"/>
  <c r="D115" i="8" s="1"/>
  <c r="E115" i="8" a="1"/>
  <c r="E115" i="8" s="1"/>
  <c r="D116" i="8" a="1"/>
  <c r="D116" i="8" s="1"/>
  <c r="E116" i="8" a="1"/>
  <c r="E116" i="8" s="1"/>
  <c r="D117" i="8" a="1"/>
  <c r="D117" i="8" s="1"/>
  <c r="E117" i="8" a="1"/>
  <c r="E117" i="8" s="1"/>
  <c r="D118" i="8" a="1"/>
  <c r="D118" i="8" s="1"/>
  <c r="C118" i="8" s="1"/>
  <c r="E118" i="8" a="1"/>
  <c r="E118" i="8" s="1"/>
  <c r="D119" i="8" a="1"/>
  <c r="D119" i="8" s="1"/>
  <c r="E119" i="8" a="1"/>
  <c r="E119" i="8" s="1"/>
  <c r="D120" i="8" a="1"/>
  <c r="D120" i="8" s="1"/>
  <c r="E120" i="8" a="1"/>
  <c r="E120" i="8" s="1"/>
  <c r="D121" i="8" a="1"/>
  <c r="D121" i="8" s="1"/>
  <c r="C121" i="8" s="1"/>
  <c r="E121" i="8" a="1"/>
  <c r="E121" i="8" s="1"/>
  <c r="D122" i="8" a="1"/>
  <c r="D122" i="8" s="1"/>
  <c r="E122" i="8" a="1"/>
  <c r="E122" i="8" s="1"/>
  <c r="D123" i="8" a="1"/>
  <c r="D123" i="8" s="1"/>
  <c r="E123" i="8" a="1"/>
  <c r="E123" i="8" s="1"/>
  <c r="D124" i="8" a="1"/>
  <c r="D124" i="8" s="1"/>
  <c r="C124" i="8" s="1"/>
  <c r="E124" i="8" a="1"/>
  <c r="E124" i="8" s="1"/>
  <c r="D125" i="8" a="1"/>
  <c r="D125" i="8" s="1"/>
  <c r="E125" i="8" a="1"/>
  <c r="E125" i="8" s="1"/>
  <c r="D126" i="8" a="1"/>
  <c r="D126" i="8" s="1"/>
  <c r="E126" i="8" a="1"/>
  <c r="E126" i="8" s="1"/>
  <c r="D127" i="8" a="1"/>
  <c r="D127" i="8" s="1"/>
  <c r="C127" i="8" s="1"/>
  <c r="E127" i="8" a="1"/>
  <c r="E127" i="8" s="1"/>
  <c r="D128" i="8" a="1"/>
  <c r="D128" i="8" s="1"/>
  <c r="E128" i="8" a="1"/>
  <c r="E128" i="8" s="1"/>
  <c r="D129" i="8" a="1"/>
  <c r="D129" i="8" s="1"/>
  <c r="E129" i="8" a="1"/>
  <c r="E129" i="8" s="1"/>
  <c r="D130" i="8" a="1"/>
  <c r="D130" i="8" s="1"/>
  <c r="C130" i="8" s="1"/>
  <c r="E130" i="8" a="1"/>
  <c r="E130" i="8" s="1"/>
  <c r="D131" i="8" a="1"/>
  <c r="D131" i="8" s="1"/>
  <c r="E131" i="8" a="1"/>
  <c r="E131" i="8" s="1"/>
  <c r="D132" i="8" a="1"/>
  <c r="D132" i="8" s="1"/>
  <c r="E132" i="8" a="1"/>
  <c r="E132" i="8" s="1"/>
  <c r="D133" i="8" a="1"/>
  <c r="D133" i="8" s="1"/>
  <c r="C133" i="8" s="1"/>
  <c r="E133" i="8" a="1"/>
  <c r="E133" i="8" s="1"/>
  <c r="D134" i="8" a="1"/>
  <c r="D134" i="8" s="1"/>
  <c r="E134" i="8" a="1"/>
  <c r="E134" i="8" s="1"/>
  <c r="D135" i="8" a="1"/>
  <c r="D135" i="8" s="1"/>
  <c r="E135" i="8" a="1"/>
  <c r="E135" i="8" s="1"/>
  <c r="D136" i="8" a="1"/>
  <c r="D136" i="8" s="1"/>
  <c r="C136" i="8" s="1"/>
  <c r="E136" i="8" a="1"/>
  <c r="E136" i="8" s="1"/>
  <c r="D137" i="8" a="1"/>
  <c r="D137" i="8" s="1"/>
  <c r="E137" i="8" a="1"/>
  <c r="E137" i="8" s="1"/>
  <c r="D138" i="8" a="1"/>
  <c r="D138" i="8" s="1"/>
  <c r="E138" i="8" a="1"/>
  <c r="E138" i="8" s="1"/>
  <c r="D139" i="8" a="1"/>
  <c r="D139" i="8" s="1"/>
  <c r="C139" i="8" s="1"/>
  <c r="E139" i="8" a="1"/>
  <c r="E139" i="8" s="1"/>
  <c r="D140" i="8" a="1"/>
  <c r="D140" i="8" s="1"/>
  <c r="E140" i="8" a="1"/>
  <c r="E140" i="8" s="1"/>
  <c r="D141" i="8" a="1"/>
  <c r="D141" i="8" s="1"/>
  <c r="E141" i="8" a="1"/>
  <c r="E141" i="8" s="1"/>
  <c r="D142" i="8" a="1"/>
  <c r="D142" i="8" s="1"/>
  <c r="C142" i="8" s="1"/>
  <c r="E142" i="8" a="1"/>
  <c r="E142" i="8" s="1"/>
  <c r="D143" i="8" a="1"/>
  <c r="D143" i="8" s="1"/>
  <c r="E143" i="8" a="1"/>
  <c r="E143" i="8" s="1"/>
  <c r="D144" i="8" a="1"/>
  <c r="D144" i="8" s="1"/>
  <c r="E144" i="8" a="1"/>
  <c r="E144" i="8" s="1"/>
  <c r="D145" i="8" a="1"/>
  <c r="D145" i="8" s="1"/>
  <c r="C145" i="8" s="1"/>
  <c r="E145" i="8" a="1"/>
  <c r="E145" i="8" s="1"/>
  <c r="D146" i="8" a="1"/>
  <c r="D146" i="8" s="1"/>
  <c r="E146" i="8" a="1"/>
  <c r="E146" i="8" s="1"/>
  <c r="D147" i="8" a="1"/>
  <c r="D147" i="8" s="1"/>
  <c r="E147" i="8" a="1"/>
  <c r="E147" i="8" s="1"/>
  <c r="D148" i="8" a="1"/>
  <c r="D148" i="8" s="1"/>
  <c r="E148" i="8" a="1"/>
  <c r="E148" i="8" s="1"/>
  <c r="D149" i="8" a="1"/>
  <c r="D149" i="8" s="1"/>
  <c r="E149" i="8" a="1"/>
  <c r="E149" i="8" s="1"/>
  <c r="D150" i="8" a="1"/>
  <c r="D150" i="8" s="1"/>
  <c r="E150" i="8" a="1"/>
  <c r="E150" i="8" s="1"/>
  <c r="D151" i="8" a="1"/>
  <c r="D151" i="8" s="1"/>
  <c r="C151" i="8" s="1"/>
  <c r="E151" i="8" a="1"/>
  <c r="E151" i="8" s="1"/>
  <c r="D152" i="8" a="1"/>
  <c r="D152" i="8" s="1"/>
  <c r="E152" i="8" a="1"/>
  <c r="E152" i="8" s="1"/>
  <c r="D153" i="8" a="1"/>
  <c r="D153" i="8" s="1"/>
  <c r="E153" i="8" a="1"/>
  <c r="E153" i="8" s="1"/>
  <c r="D154" i="8" a="1"/>
  <c r="D154" i="8" s="1"/>
  <c r="E154" i="8" a="1"/>
  <c r="E154" i="8" s="1"/>
  <c r="D155" i="8" a="1"/>
  <c r="D155" i="8" s="1"/>
  <c r="E155" i="8" a="1"/>
  <c r="E155" i="8" s="1"/>
  <c r="D156" i="8" a="1"/>
  <c r="D156" i="8" s="1"/>
  <c r="E156" i="8" a="1"/>
  <c r="E156" i="8" s="1"/>
  <c r="D157" i="8" a="1"/>
  <c r="D157" i="8" s="1"/>
  <c r="C157" i="8" s="1"/>
  <c r="E157" i="8" a="1"/>
  <c r="E157" i="8" s="1"/>
  <c r="D158" i="8" a="1"/>
  <c r="D158" i="8" s="1"/>
  <c r="E158" i="8" a="1"/>
  <c r="E158" i="8" s="1"/>
  <c r="D159" i="8" a="1"/>
  <c r="D159" i="8" s="1"/>
  <c r="E159" i="8" a="1"/>
  <c r="E159" i="8" s="1"/>
  <c r="D160" i="8" a="1"/>
  <c r="D160" i="8" s="1"/>
  <c r="E160" i="8" a="1"/>
  <c r="E160" i="8" s="1"/>
  <c r="D161" i="8" a="1"/>
  <c r="D161" i="8" s="1"/>
  <c r="E161" i="8" a="1"/>
  <c r="E161" i="8" s="1"/>
  <c r="D162" i="8" a="1"/>
  <c r="D162" i="8" s="1"/>
  <c r="E162" i="8" a="1"/>
  <c r="E162" i="8" s="1"/>
  <c r="D163" i="8" a="1"/>
  <c r="D163" i="8" s="1"/>
  <c r="C163" i="8" s="1"/>
  <c r="E163" i="8" a="1"/>
  <c r="E163" i="8" s="1"/>
  <c r="D164" i="8" a="1"/>
  <c r="D164" i="8" s="1"/>
  <c r="E164" i="8" a="1"/>
  <c r="E164" i="8" s="1"/>
  <c r="D165" i="8" a="1"/>
  <c r="D165" i="8" s="1"/>
  <c r="E165" i="8" a="1"/>
  <c r="E165" i="8" s="1"/>
  <c r="D166" i="8" a="1"/>
  <c r="D166" i="8" s="1"/>
  <c r="E166" i="8" a="1"/>
  <c r="E166" i="8" s="1"/>
  <c r="D167" i="8" a="1"/>
  <c r="D167" i="8" s="1"/>
  <c r="E167" i="8" a="1"/>
  <c r="E167" i="8" s="1"/>
  <c r="D168" i="8" a="1"/>
  <c r="D168" i="8" s="1"/>
  <c r="E168" i="8" a="1"/>
  <c r="E168" i="8" s="1"/>
  <c r="D169" i="8" a="1"/>
  <c r="D169" i="8" s="1"/>
  <c r="C169" i="8" s="1"/>
  <c r="E169" i="8" a="1"/>
  <c r="E169" i="8" s="1"/>
  <c r="D170" i="8" a="1"/>
  <c r="D170" i="8" s="1"/>
  <c r="E170" i="8" a="1"/>
  <c r="E170" i="8" s="1"/>
  <c r="D171" i="8" a="1"/>
  <c r="D171" i="8" s="1"/>
  <c r="E171" i="8" a="1"/>
  <c r="E171" i="8" s="1"/>
  <c r="D11" i="8" a="1"/>
  <c r="D11" i="8" s="1"/>
  <c r="E11" i="8" a="1"/>
  <c r="E11" i="8" s="1"/>
  <c r="J6" i="5"/>
  <c r="J7" i="5"/>
  <c r="J8" i="5"/>
  <c r="J9" i="5"/>
  <c r="J10" i="5"/>
  <c r="K10" i="5" s="1"/>
  <c r="J11" i="5"/>
  <c r="J12" i="5"/>
  <c r="J13" i="5"/>
  <c r="J14" i="5"/>
  <c r="J15" i="5"/>
  <c r="K15" i="5" s="1"/>
  <c r="J16" i="5"/>
  <c r="L16" i="5" s="1"/>
  <c r="J17" i="5"/>
  <c r="L17" i="5" s="1"/>
  <c r="J18" i="5"/>
  <c r="J19" i="5"/>
  <c r="J20" i="5"/>
  <c r="J21" i="5"/>
  <c r="J22" i="5"/>
  <c r="K22" i="5" s="1"/>
  <c r="J23" i="5"/>
  <c r="J24" i="5"/>
  <c r="J25" i="5"/>
  <c r="J26" i="5"/>
  <c r="J27" i="5"/>
  <c r="L27" i="5" s="1"/>
  <c r="J28" i="5"/>
  <c r="L28" i="5" s="1"/>
  <c r="J29" i="5"/>
  <c r="L29" i="5" s="1"/>
  <c r="J30" i="5"/>
  <c r="K30" i="5" s="1"/>
  <c r="J31" i="5"/>
  <c r="J32" i="5"/>
  <c r="J33" i="5"/>
  <c r="J34" i="5"/>
  <c r="K34" i="5" s="1"/>
  <c r="J35" i="5"/>
  <c r="J36" i="5"/>
  <c r="J37" i="5"/>
  <c r="J38" i="5"/>
  <c r="L38" i="5" s="1"/>
  <c r="J39" i="5"/>
  <c r="L39" i="5" s="1"/>
  <c r="J40" i="5"/>
  <c r="L40" i="5" s="1"/>
  <c r="J41" i="5"/>
  <c r="L41" i="5" s="1"/>
  <c r="J42" i="5"/>
  <c r="J43" i="5"/>
  <c r="J44" i="5"/>
  <c r="J45" i="5"/>
  <c r="J46" i="5"/>
  <c r="K46" i="5" s="1"/>
  <c r="J47" i="5"/>
  <c r="J48" i="5"/>
  <c r="J49" i="5"/>
  <c r="J50" i="5"/>
  <c r="J51" i="5"/>
  <c r="L51" i="5" s="1"/>
  <c r="J52" i="5"/>
  <c r="L52" i="5" s="1"/>
  <c r="J53" i="5"/>
  <c r="L53" i="5" s="1"/>
  <c r="J54" i="5"/>
  <c r="J55" i="5"/>
  <c r="J56" i="5"/>
  <c r="J57" i="5"/>
  <c r="J58" i="5"/>
  <c r="K58" i="5" s="1"/>
  <c r="J59" i="5"/>
  <c r="J60" i="5"/>
  <c r="J61" i="5"/>
  <c r="J62" i="5"/>
  <c r="J63" i="5"/>
  <c r="L63" i="5" s="1"/>
  <c r="J64" i="5"/>
  <c r="L64" i="5" s="1"/>
  <c r="J65" i="5"/>
  <c r="L65" i="5" s="1"/>
  <c r="J66" i="5"/>
  <c r="J67" i="5"/>
  <c r="J68" i="5"/>
  <c r="J69" i="5"/>
  <c r="J70" i="5"/>
  <c r="K70" i="5" s="1"/>
  <c r="J71" i="5"/>
  <c r="J72" i="5"/>
  <c r="J73" i="5"/>
  <c r="J74" i="5"/>
  <c r="J75" i="5"/>
  <c r="L75" i="5" s="1"/>
  <c r="J76" i="5"/>
  <c r="L76" i="5" s="1"/>
  <c r="J77" i="5"/>
  <c r="L77" i="5" s="1"/>
  <c r="J78" i="5"/>
  <c r="L78" i="5" s="1"/>
  <c r="J79" i="5"/>
  <c r="J80" i="5"/>
  <c r="J81" i="5"/>
  <c r="J82" i="5"/>
  <c r="L82" i="5" s="1"/>
  <c r="J83" i="5"/>
  <c r="J84" i="5"/>
  <c r="L84" i="5" s="1"/>
  <c r="J85" i="5"/>
  <c r="J86" i="5"/>
  <c r="L86" i="5" s="1"/>
  <c r="J87" i="5"/>
  <c r="L87" i="5" s="1"/>
  <c r="J88" i="5"/>
  <c r="L88" i="5" s="1"/>
  <c r="J89" i="5"/>
  <c r="L89" i="5" s="1"/>
  <c r="J90" i="5"/>
  <c r="J91" i="5"/>
  <c r="J92" i="5"/>
  <c r="K92" i="5" s="1"/>
  <c r="J93" i="5"/>
  <c r="J94" i="5"/>
  <c r="L94" i="5" s="1"/>
  <c r="J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5" i="5"/>
  <c r="L93" i="5"/>
  <c r="K93" i="5"/>
  <c r="L92" i="5"/>
  <c r="L91" i="5"/>
  <c r="K91" i="5"/>
  <c r="L90" i="5"/>
  <c r="K90" i="5"/>
  <c r="K89" i="5"/>
  <c r="L85" i="5"/>
  <c r="K85" i="5"/>
  <c r="K84" i="5"/>
  <c r="L83" i="5"/>
  <c r="K83" i="5"/>
  <c r="L81" i="5"/>
  <c r="K81" i="5"/>
  <c r="L80" i="5"/>
  <c r="K80" i="5"/>
  <c r="L79" i="5"/>
  <c r="K79" i="5"/>
  <c r="K77" i="5"/>
  <c r="L74" i="5"/>
  <c r="K74" i="5"/>
  <c r="L73" i="5"/>
  <c r="K73" i="5"/>
  <c r="L72" i="5"/>
  <c r="K72" i="5"/>
  <c r="L71" i="5"/>
  <c r="K71" i="5"/>
  <c r="L69" i="5"/>
  <c r="K69" i="5"/>
  <c r="L68" i="5"/>
  <c r="K68" i="5"/>
  <c r="L67" i="5"/>
  <c r="K67" i="5"/>
  <c r="L66" i="5"/>
  <c r="K66" i="5"/>
  <c r="K65" i="5"/>
  <c r="L62" i="5"/>
  <c r="K62" i="5"/>
  <c r="L61" i="5"/>
  <c r="K61" i="5"/>
  <c r="L60" i="5"/>
  <c r="K60" i="5"/>
  <c r="L59" i="5"/>
  <c r="K59" i="5"/>
  <c r="L58" i="5"/>
  <c r="L57" i="5"/>
  <c r="K57" i="5"/>
  <c r="L56" i="5"/>
  <c r="K56" i="5"/>
  <c r="L55" i="5"/>
  <c r="K55" i="5"/>
  <c r="L54" i="5"/>
  <c r="K54" i="5"/>
  <c r="K53" i="5"/>
  <c r="L50" i="5"/>
  <c r="K50" i="5"/>
  <c r="L49" i="5"/>
  <c r="K49" i="5"/>
  <c r="L48" i="5"/>
  <c r="K48" i="5"/>
  <c r="L47" i="5"/>
  <c r="K47" i="5"/>
  <c r="L46" i="5"/>
  <c r="L45" i="5"/>
  <c r="K45" i="5"/>
  <c r="L44" i="5"/>
  <c r="K44" i="5"/>
  <c r="L43" i="5"/>
  <c r="K43" i="5"/>
  <c r="L42" i="5"/>
  <c r="K42" i="5"/>
  <c r="K41" i="5"/>
  <c r="L37" i="5"/>
  <c r="K37" i="5"/>
  <c r="L36" i="5"/>
  <c r="K36" i="5"/>
  <c r="L35" i="5"/>
  <c r="K35" i="5"/>
  <c r="L34" i="5"/>
  <c r="L33" i="5"/>
  <c r="K33" i="5"/>
  <c r="L32" i="5"/>
  <c r="K32" i="5"/>
  <c r="L31" i="5"/>
  <c r="K31" i="5"/>
  <c r="L30" i="5"/>
  <c r="K29" i="5"/>
  <c r="L26" i="5"/>
  <c r="K26" i="5"/>
  <c r="L25" i="5"/>
  <c r="K25" i="5"/>
  <c r="L24" i="5"/>
  <c r="K24" i="5"/>
  <c r="L23" i="5"/>
  <c r="K23" i="5"/>
  <c r="L21" i="5"/>
  <c r="K21" i="5"/>
  <c r="L20" i="5"/>
  <c r="K20" i="5"/>
  <c r="L19" i="5"/>
  <c r="K19" i="5"/>
  <c r="L18" i="5"/>
  <c r="K18" i="5"/>
  <c r="K17" i="5"/>
  <c r="L15" i="5"/>
  <c r="L14" i="5"/>
  <c r="K14" i="5"/>
  <c r="L13" i="5"/>
  <c r="K13" i="5"/>
  <c r="L12" i="5"/>
  <c r="K12" i="5"/>
  <c r="L11" i="5"/>
  <c r="K11" i="5"/>
  <c r="L10" i="5"/>
  <c r="L9" i="5"/>
  <c r="K9" i="5"/>
  <c r="L8" i="5"/>
  <c r="K8" i="5"/>
  <c r="L7" i="5"/>
  <c r="K7" i="5"/>
  <c r="L6" i="5"/>
  <c r="K6" i="5"/>
  <c r="L5" i="5"/>
  <c r="K5" i="5"/>
  <c r="F94" i="5"/>
  <c r="E94" i="5"/>
  <c r="F93" i="5"/>
  <c r="E93" i="5"/>
  <c r="F92" i="5"/>
  <c r="E92" i="5"/>
  <c r="F91" i="5"/>
  <c r="E91" i="5"/>
  <c r="F90" i="5"/>
  <c r="E90" i="5"/>
  <c r="F89" i="5"/>
  <c r="E89" i="5"/>
  <c r="F88" i="5"/>
  <c r="E88" i="5"/>
  <c r="F87" i="5"/>
  <c r="E87" i="5"/>
  <c r="F86" i="5"/>
  <c r="E86" i="5"/>
  <c r="F85" i="5"/>
  <c r="E85" i="5"/>
  <c r="F84" i="5"/>
  <c r="E84" i="5"/>
  <c r="F83" i="5"/>
  <c r="E83" i="5"/>
  <c r="F82" i="5"/>
  <c r="E82" i="5"/>
  <c r="F81" i="5"/>
  <c r="E81" i="5"/>
  <c r="F80" i="5"/>
  <c r="E80" i="5"/>
  <c r="F79" i="5"/>
  <c r="E79" i="5"/>
  <c r="F78" i="5"/>
  <c r="E78" i="5"/>
  <c r="F77" i="5"/>
  <c r="E77" i="5"/>
  <c r="F76" i="5"/>
  <c r="E76" i="5"/>
  <c r="F75" i="5"/>
  <c r="E75" i="5"/>
  <c r="F74" i="5"/>
  <c r="E74" i="5"/>
  <c r="F73" i="5"/>
  <c r="E73" i="5"/>
  <c r="F72" i="5"/>
  <c r="E72" i="5"/>
  <c r="F71" i="5"/>
  <c r="E71" i="5"/>
  <c r="F70" i="5"/>
  <c r="E70" i="5"/>
  <c r="F69" i="5"/>
  <c r="E69" i="5"/>
  <c r="F68" i="5"/>
  <c r="E68" i="5"/>
  <c r="F67" i="5"/>
  <c r="E67" i="5"/>
  <c r="F66" i="5"/>
  <c r="E66" i="5"/>
  <c r="F65" i="5"/>
  <c r="E65" i="5"/>
  <c r="F64" i="5"/>
  <c r="E64" i="5"/>
  <c r="F63" i="5"/>
  <c r="E63" i="5"/>
  <c r="F62" i="5"/>
  <c r="E62" i="5"/>
  <c r="F61" i="5"/>
  <c r="E61" i="5"/>
  <c r="F60" i="5"/>
  <c r="E60" i="5"/>
  <c r="F59" i="5"/>
  <c r="E59" i="5"/>
  <c r="F58" i="5"/>
  <c r="E58" i="5"/>
  <c r="F57" i="5"/>
  <c r="E57" i="5"/>
  <c r="F56" i="5"/>
  <c r="E56" i="5"/>
  <c r="F55" i="5"/>
  <c r="E55" i="5"/>
  <c r="F54" i="5"/>
  <c r="E54" i="5"/>
  <c r="F53" i="5"/>
  <c r="E53" i="5"/>
  <c r="F52" i="5"/>
  <c r="E52" i="5"/>
  <c r="F51" i="5"/>
  <c r="E51" i="5"/>
  <c r="F50" i="5"/>
  <c r="E50" i="5"/>
  <c r="F49" i="5"/>
  <c r="E49" i="5"/>
  <c r="F48" i="5"/>
  <c r="E48" i="5"/>
  <c r="F47" i="5"/>
  <c r="E47" i="5"/>
  <c r="F46" i="5"/>
  <c r="E46" i="5"/>
  <c r="F45" i="5"/>
  <c r="E45" i="5"/>
  <c r="F44" i="5"/>
  <c r="E44" i="5"/>
  <c r="F43" i="5"/>
  <c r="E43" i="5"/>
  <c r="F42" i="5"/>
  <c r="E42" i="5"/>
  <c r="F41" i="5"/>
  <c r="E41" i="5"/>
  <c r="F40" i="5"/>
  <c r="E40" i="5"/>
  <c r="F39" i="5"/>
  <c r="E39" i="5"/>
  <c r="F38" i="5"/>
  <c r="E38" i="5"/>
  <c r="F37" i="5"/>
  <c r="E37" i="5"/>
  <c r="F36" i="5"/>
  <c r="E36" i="5"/>
  <c r="F35" i="5"/>
  <c r="E35" i="5"/>
  <c r="F34" i="5"/>
  <c r="E34" i="5"/>
  <c r="F33" i="5"/>
  <c r="E33" i="5"/>
  <c r="F32" i="5"/>
  <c r="E32" i="5"/>
  <c r="F31" i="5"/>
  <c r="E31" i="5"/>
  <c r="F30" i="5"/>
  <c r="E30" i="5"/>
  <c r="F29" i="5"/>
  <c r="E29" i="5"/>
  <c r="F28" i="5"/>
  <c r="E28" i="5"/>
  <c r="F27" i="5"/>
  <c r="E27" i="5"/>
  <c r="F26" i="5"/>
  <c r="E26" i="5"/>
  <c r="F25" i="5"/>
  <c r="E25" i="5"/>
  <c r="F24" i="5"/>
  <c r="E24" i="5"/>
  <c r="F23" i="5"/>
  <c r="E23" i="5"/>
  <c r="F22" i="5"/>
  <c r="E22" i="5"/>
  <c r="F21" i="5"/>
  <c r="E21" i="5"/>
  <c r="F20" i="5"/>
  <c r="E20" i="5"/>
  <c r="F19" i="5"/>
  <c r="E19" i="5"/>
  <c r="F18" i="5"/>
  <c r="E18" i="5"/>
  <c r="F17" i="5"/>
  <c r="E17" i="5"/>
  <c r="F16" i="5"/>
  <c r="E16" i="5"/>
  <c r="F15" i="5"/>
  <c r="E15" i="5"/>
  <c r="F14" i="5"/>
  <c r="E14" i="5"/>
  <c r="F13" i="5"/>
  <c r="E13" i="5"/>
  <c r="F12" i="5"/>
  <c r="E12" i="5"/>
  <c r="F11" i="5"/>
  <c r="E11" i="5"/>
  <c r="F10" i="5"/>
  <c r="E10" i="5"/>
  <c r="F9" i="5"/>
  <c r="E9" i="5"/>
  <c r="F8" i="5"/>
  <c r="E8" i="5"/>
  <c r="F7" i="5"/>
  <c r="E7" i="5"/>
  <c r="F6" i="5"/>
  <c r="E6" i="5"/>
  <c r="F5" i="5"/>
  <c r="E5" i="5"/>
  <c r="W321" i="9" a="1"/>
  <c r="W267" i="9" a="1"/>
  <c r="W90" i="9" a="1"/>
  <c r="X151" i="9" a="1"/>
  <c r="X247" i="9" a="1"/>
  <c r="W179" i="9" a="1"/>
  <c r="W320" i="9" a="1"/>
  <c r="W54" i="9" a="1"/>
  <c r="W288" i="9" a="1"/>
  <c r="X91" i="9" a="1"/>
  <c r="X68" i="9" a="1"/>
  <c r="X84" i="9" a="1"/>
  <c r="W254" i="9" a="1"/>
  <c r="X13" i="9" a="1"/>
  <c r="X76" i="9" a="1"/>
  <c r="X133" i="9" a="1"/>
  <c r="W341" i="9" a="1"/>
  <c r="X161" i="9" a="1"/>
  <c r="X147" i="9" a="1"/>
  <c r="X105" i="9" a="1"/>
  <c r="X328" i="9" a="1"/>
  <c r="W154" i="9" a="1"/>
  <c r="W352" i="9" a="1"/>
  <c r="X37" i="9" a="1"/>
  <c r="X114" i="9" a="1"/>
  <c r="W215" i="9" a="1"/>
  <c r="X351" i="9" a="1"/>
  <c r="X173" i="9" a="1"/>
  <c r="X32" i="9" a="1"/>
  <c r="W31" i="9" a="1"/>
  <c r="W281" i="9" a="1"/>
  <c r="X227" i="9" a="1"/>
  <c r="X357" i="9" a="1"/>
  <c r="X340" i="9" a="1"/>
  <c r="X293" i="9" a="1"/>
  <c r="X215" i="9" a="1"/>
  <c r="W91" i="9" a="1"/>
  <c r="W301" i="9" a="1"/>
  <c r="X179" i="9" a="1"/>
  <c r="X102" i="9" a="1"/>
  <c r="X29" i="9" a="1"/>
  <c r="X46" i="9" a="1"/>
  <c r="X17" i="9" a="1"/>
  <c r="W240" i="9" a="1"/>
  <c r="X264" i="9" a="1"/>
  <c r="W329" i="9" a="1"/>
  <c r="W214" i="9" a="1"/>
  <c r="X257" i="9" a="1"/>
  <c r="W356" i="9" a="1"/>
  <c r="X150" i="9" a="1"/>
  <c r="W334" i="9" a="1"/>
  <c r="X204" i="9" a="1"/>
  <c r="X243" i="9" a="1"/>
  <c r="W190" i="9" a="1"/>
  <c r="W219" i="9" a="1"/>
  <c r="W231" i="9" a="1"/>
  <c r="W250" i="9" a="1"/>
  <c r="X360" i="9" a="1"/>
  <c r="X36" i="9" a="1"/>
  <c r="W177" i="9" a="1"/>
  <c r="W29" i="9" a="1"/>
  <c r="X166" i="9" a="1"/>
  <c r="W221" i="9" a="1"/>
  <c r="W290" i="9" a="1"/>
  <c r="X23" i="9" a="1"/>
  <c r="X208" i="9" a="1"/>
  <c r="W146" i="9" a="1"/>
  <c r="X137" i="9" a="1"/>
  <c r="W260" i="9" a="1"/>
  <c r="W305" i="9" a="1"/>
  <c r="X216" i="9" a="1"/>
  <c r="W60" i="9" a="1"/>
  <c r="W101" i="9" a="1"/>
  <c r="X6" i="9" a="1"/>
  <c r="W172" i="9" a="1"/>
  <c r="W74" i="9" a="1"/>
  <c r="X164" i="9" a="1"/>
  <c r="W131" i="9" a="1"/>
  <c r="X118" i="9" a="1"/>
  <c r="W50" i="9" a="1"/>
  <c r="W95" i="9" a="1"/>
  <c r="X348" i="9" a="1"/>
  <c r="W348" i="9" a="1"/>
  <c r="X313" i="9" a="1"/>
  <c r="W235" i="9" a="1"/>
  <c r="W30" i="9" a="1"/>
  <c r="X2" i="9" a="1"/>
  <c r="W159" i="9" a="1"/>
  <c r="X195" i="9" a="1"/>
  <c r="X132" i="9" a="1"/>
  <c r="X75" i="9" a="1"/>
  <c r="X263" i="9" a="1"/>
  <c r="X140" i="9" a="1"/>
  <c r="X235" i="9" a="1"/>
  <c r="X337" i="9" a="1"/>
  <c r="X300" i="9" a="1"/>
  <c r="W225" i="9" a="1"/>
  <c r="W142" i="9" a="1"/>
  <c r="X74" i="9" a="1"/>
  <c r="X305" i="9" a="1"/>
  <c r="X104" i="9" a="1"/>
  <c r="W228" i="9" a="1"/>
  <c r="W199" i="9" a="1"/>
  <c r="W187" i="9" a="1"/>
  <c r="X153" i="9" a="1"/>
  <c r="X329" i="9" a="1"/>
  <c r="W310" i="9" a="1"/>
  <c r="X86" i="9" a="1"/>
  <c r="W94" i="9" a="1"/>
  <c r="W129" i="9" a="1"/>
  <c r="W291" i="9" a="1"/>
  <c r="W149" i="9" a="1"/>
  <c r="W5" i="9" a="1"/>
  <c r="W173" i="9" a="1"/>
  <c r="W7" i="9" a="1"/>
  <c r="W66" i="9" a="1"/>
  <c r="W263" i="9" a="1"/>
  <c r="W44" i="9" a="1"/>
  <c r="X125" i="9" a="1"/>
  <c r="X356" i="9" a="1"/>
  <c r="W51" i="9" a="1"/>
  <c r="X79" i="9" a="1"/>
  <c r="X245" i="9" a="1"/>
  <c r="W42" i="9" a="1"/>
  <c r="W58" i="9" a="1"/>
  <c r="X116" i="9" a="1"/>
  <c r="X103" i="9" a="1"/>
  <c r="W37" i="9" a="1"/>
  <c r="X5" i="9" a="1"/>
  <c r="X174" i="9" a="1"/>
  <c r="X242" i="9" a="1"/>
  <c r="X240" i="9" a="1"/>
  <c r="X88" i="9" a="1"/>
  <c r="W120" i="9" a="1"/>
  <c r="X71" i="9" a="1"/>
  <c r="W139" i="9" a="1"/>
  <c r="W278" i="9" a="1"/>
  <c r="X206" i="9" a="1"/>
  <c r="X165" i="9" a="1"/>
  <c r="W236" i="9" a="1"/>
  <c r="X250" i="9" a="1"/>
  <c r="W287" i="9" a="1"/>
  <c r="X314" i="9" a="1"/>
  <c r="W252" i="9" a="1"/>
  <c r="W45" i="9" a="1"/>
  <c r="X207" i="9" a="1"/>
  <c r="W55" i="9" a="1"/>
  <c r="W243" i="9" a="1"/>
  <c r="X108" i="9" a="1"/>
  <c r="W180" i="9" a="1"/>
  <c r="X292" i="9" a="1"/>
  <c r="W275" i="9" a="1"/>
  <c r="W35" i="9" a="1"/>
  <c r="X345" i="9" a="1"/>
  <c r="W53" i="9" a="1"/>
  <c r="W148" i="9" a="1"/>
  <c r="W343" i="9" a="1"/>
  <c r="X135" i="9" a="1"/>
  <c r="X180" i="9" a="1"/>
  <c r="X21" i="9" a="1"/>
  <c r="W128" i="9" a="1"/>
  <c r="W223" i="9" a="1"/>
  <c r="W212" i="9" a="1"/>
  <c r="X217" i="9" a="1"/>
  <c r="X319" i="9" a="1"/>
  <c r="X239" i="9" a="1"/>
  <c r="W147" i="9" a="1"/>
  <c r="W314" i="9" a="1"/>
  <c r="X34" i="9" a="1"/>
  <c r="W297" i="9" a="1"/>
  <c r="W363" i="9" a="1"/>
  <c r="X225" i="9" a="1"/>
  <c r="W355" i="9" a="1"/>
  <c r="W134" i="9" a="1"/>
  <c r="W107" i="9" a="1"/>
  <c r="W152" i="9" a="1"/>
  <c r="X106" i="9" a="1"/>
  <c r="W280" i="9" a="1"/>
  <c r="X358" i="9" a="1"/>
  <c r="X330" i="9" a="1"/>
  <c r="X69" i="9" a="1"/>
  <c r="W83" i="9" a="1"/>
  <c r="W105" i="9" a="1"/>
  <c r="X198" i="9" a="1"/>
  <c r="X31" i="9" a="1"/>
  <c r="W276" i="9" a="1"/>
  <c r="W12" i="9" a="1"/>
  <c r="W124" i="9" a="1"/>
  <c r="X50" i="9" a="1"/>
  <c r="W28" i="9" a="1"/>
  <c r="W359" i="9" a="1"/>
  <c r="X196" i="9" a="1"/>
  <c r="W311" i="9" a="1"/>
  <c r="X234" i="9" a="1"/>
  <c r="X27" i="9" a="1"/>
  <c r="W63" i="9" a="1"/>
  <c r="X119" i="9" a="1"/>
  <c r="X297" i="9" a="1"/>
  <c r="X170" i="9" a="1"/>
  <c r="X287" i="9" a="1"/>
  <c r="X101" i="9" a="1"/>
  <c r="X341" i="9" a="1"/>
  <c r="X187" i="9" a="1"/>
  <c r="W259" i="9" a="1"/>
  <c r="X67" i="9" a="1"/>
  <c r="X9" i="9" a="1"/>
  <c r="X124" i="9" a="1"/>
  <c r="X117" i="9" a="1"/>
  <c r="W264" i="9" a="1"/>
  <c r="W22" i="9" a="1"/>
  <c r="X238" i="9" a="1"/>
  <c r="X301" i="9" a="1"/>
  <c r="X70" i="9" a="1"/>
  <c r="X321" i="9" a="1"/>
  <c r="X44" i="9" a="1"/>
  <c r="W315" i="9" a="1"/>
  <c r="W239" i="9" a="1"/>
  <c r="W43" i="9" a="1"/>
  <c r="W52" i="9" a="1"/>
  <c r="X280" i="9" a="1"/>
  <c r="W238" i="9" a="1"/>
  <c r="X271" i="9" a="1"/>
  <c r="X28" i="9" a="1"/>
  <c r="X142" i="9" a="1"/>
  <c r="X163" i="9" a="1"/>
  <c r="W298" i="9" a="1"/>
  <c r="X318" i="9" a="1"/>
  <c r="W242" i="9" a="1"/>
  <c r="W322" i="9" a="1"/>
  <c r="W24" i="9" a="1"/>
  <c r="X22" i="9" a="1"/>
  <c r="X183" i="9" a="1"/>
  <c r="X194" i="9" a="1"/>
  <c r="W188" i="9" a="1"/>
  <c r="W213" i="9" a="1"/>
  <c r="W337" i="9" a="1"/>
  <c r="X200" i="9" a="1"/>
  <c r="W261" i="9" a="1"/>
  <c r="X364" i="9" a="1"/>
  <c r="W353" i="9" a="1"/>
  <c r="X157" i="9" a="1"/>
  <c r="X232" i="9" a="1"/>
  <c r="W316" i="9" a="1"/>
  <c r="W77" i="9" a="1"/>
  <c r="X285" i="9" a="1"/>
  <c r="W360" i="9" a="1"/>
  <c r="X231" i="9" a="1"/>
  <c r="X315" i="9" a="1"/>
  <c r="X272" i="9" a="1"/>
  <c r="X171" i="9" a="1"/>
  <c r="X95" i="9" a="1"/>
  <c r="X211" i="9" a="1"/>
  <c r="X288" i="9" a="1"/>
  <c r="W151" i="9" a="1"/>
  <c r="W73" i="9" a="1"/>
  <c r="W116" i="9" a="1"/>
  <c r="W268" i="9" a="1"/>
  <c r="W269" i="9" a="1"/>
  <c r="W286" i="9" a="1"/>
  <c r="X176" i="9" a="1"/>
  <c r="X192" i="9" a="1"/>
  <c r="X40" i="9" a="1"/>
  <c r="X277" i="9" a="1"/>
  <c r="X289" i="9" a="1"/>
  <c r="W307" i="9" a="1"/>
  <c r="X352" i="9" a="1"/>
  <c r="W181" i="9" a="1"/>
  <c r="W210" i="9" a="1"/>
  <c r="X339" i="9" a="1"/>
  <c r="W358" i="9" a="1"/>
  <c r="X333" i="9" a="1"/>
  <c r="X159" i="9" a="1"/>
  <c r="X284" i="9" a="1"/>
  <c r="W168" i="9" a="1"/>
  <c r="W78" i="9" a="1"/>
  <c r="X155" i="9" a="1"/>
  <c r="X54" i="9" a="1"/>
  <c r="W282" i="9" a="1"/>
  <c r="W344" i="9" a="1"/>
  <c r="W75" i="9" a="1"/>
  <c r="X241" i="9" a="1"/>
  <c r="W226" i="9" a="1"/>
  <c r="W342" i="9" a="1"/>
  <c r="X274" i="9" a="1"/>
  <c r="W138" i="9" a="1"/>
  <c r="W328" i="9" a="1"/>
  <c r="X344" i="9" a="1"/>
  <c r="X338" i="9" a="1"/>
  <c r="X265" i="9" a="1"/>
  <c r="W270" i="9" a="1"/>
  <c r="W189" i="9" a="1"/>
  <c r="X184" i="9" a="1"/>
  <c r="W93" i="9" a="1"/>
  <c r="W14" i="9" a="1"/>
  <c r="W100" i="9" a="1"/>
  <c r="X309" i="9" a="1"/>
  <c r="X15" i="9" a="1"/>
  <c r="W16" i="9" a="1"/>
  <c r="X97" i="9" a="1"/>
  <c r="X18" i="9" a="1"/>
  <c r="W119" i="9" a="1"/>
  <c r="W81" i="9" a="1"/>
  <c r="W224" i="9" a="1"/>
  <c r="X43" i="9" a="1"/>
  <c r="X42" i="9" a="1"/>
  <c r="W167" i="9" a="1"/>
  <c r="W89" i="9" a="1"/>
  <c r="X177" i="9" a="1"/>
  <c r="W340" i="9" a="1"/>
  <c r="W76" i="9" a="1"/>
  <c r="W296" i="9" a="1"/>
  <c r="X65" i="9" a="1"/>
  <c r="W127" i="9" a="1"/>
  <c r="X172" i="9" a="1"/>
  <c r="W135" i="9" a="1"/>
  <c r="W312" i="9" a="1"/>
  <c r="W117" i="9" a="1"/>
  <c r="W85" i="9" a="1"/>
  <c r="X230" i="9" a="1"/>
  <c r="W324" i="9" a="1"/>
  <c r="W163" i="9" a="1"/>
  <c r="X16" i="9" a="1"/>
  <c r="X205" i="9" a="1"/>
  <c r="W292" i="9" a="1"/>
  <c r="X281" i="9" a="1"/>
  <c r="X24" i="9" a="1"/>
  <c r="X58" i="9" a="1"/>
  <c r="X259" i="9" a="1"/>
  <c r="W253" i="9" a="1"/>
  <c r="X354" i="9" a="1"/>
  <c r="X267" i="9" a="1"/>
  <c r="W205" i="9" a="1"/>
  <c r="X362" i="9" a="1"/>
  <c r="X45" i="9" a="1"/>
  <c r="W71" i="9" a="1"/>
  <c r="W183" i="9" a="1"/>
  <c r="W191" i="9" a="1"/>
  <c r="W294" i="9" a="1"/>
  <c r="W165" i="9" a="1"/>
  <c r="W38" i="9" a="1"/>
  <c r="W69" i="9" a="1"/>
  <c r="W333" i="9" a="1"/>
  <c r="W10" i="9" a="1"/>
  <c r="W25" i="9" a="1"/>
  <c r="X342" i="9" a="1"/>
  <c r="X182" i="9" a="1"/>
  <c r="X62" i="9" a="1"/>
  <c r="W82" i="9" a="1"/>
  <c r="X317" i="9" a="1"/>
  <c r="W209" i="9" a="1"/>
  <c r="X8" i="9" a="1"/>
  <c r="X143" i="9" a="1"/>
  <c r="X99" i="9" a="1"/>
  <c r="W26" i="9" a="1"/>
  <c r="W170" i="9" a="1"/>
  <c r="W8" i="9" a="1"/>
  <c r="X316" i="9" a="1"/>
  <c r="W211" i="9" a="1"/>
  <c r="X41" i="9" a="1"/>
  <c r="W49" i="9" a="1"/>
  <c r="W72" i="9" a="1"/>
  <c r="W326" i="9" a="1"/>
  <c r="W46" i="9" a="1"/>
  <c r="W257" i="9" a="1"/>
  <c r="X57" i="9" a="1"/>
  <c r="X144" i="9" a="1"/>
  <c r="X120" i="9" a="1"/>
  <c r="X266" i="9" a="1"/>
  <c r="W2" i="9" a="1"/>
  <c r="W354" i="9" a="1"/>
  <c r="X126" i="9" a="1"/>
  <c r="W136" i="9" a="1"/>
  <c r="X90" i="9" a="1"/>
  <c r="W137" i="9" a="1"/>
  <c r="W6" i="9" a="1"/>
  <c r="X332" i="9" a="1"/>
  <c r="X127" i="9" a="1"/>
  <c r="X304" i="9" a="1"/>
  <c r="X181" i="9" a="1"/>
  <c r="X295" i="9" a="1"/>
  <c r="X237" i="9" a="1"/>
  <c r="X148" i="9" a="1"/>
  <c r="W233" i="9" a="1"/>
  <c r="W150" i="9" a="1"/>
  <c r="X134" i="9" a="1"/>
  <c r="W338" i="9" a="1"/>
  <c r="X156" i="9" a="1"/>
  <c r="X20" i="9" a="1"/>
  <c r="X252" i="9" a="1"/>
  <c r="X121" i="9" a="1"/>
  <c r="W62" i="9" a="1"/>
  <c r="W364" i="9" a="1"/>
  <c r="X128" i="9" a="1"/>
  <c r="W133" i="9" a="1"/>
  <c r="W196" i="9" a="1"/>
  <c r="X94" i="9" a="1"/>
  <c r="W217" i="9" a="1"/>
  <c r="X361" i="9" a="1"/>
  <c r="X78" i="9" a="1"/>
  <c r="W309" i="9" a="1"/>
  <c r="W99" i="9" a="1"/>
  <c r="W36" i="9" a="1"/>
  <c r="W227" i="9" a="1"/>
  <c r="W161" i="9" a="1"/>
  <c r="W273" i="9" a="1"/>
  <c r="X66" i="9" a="1"/>
  <c r="X130" i="9" a="1"/>
  <c r="X221" i="9" a="1"/>
  <c r="W339" i="9" a="1"/>
  <c r="W84" i="9" a="1"/>
  <c r="X83" i="9" a="1"/>
  <c r="X19" i="9" a="1"/>
  <c r="W313" i="9" a="1"/>
  <c r="X186" i="9" a="1"/>
  <c r="W323" i="9" a="1"/>
  <c r="W303" i="9" a="1"/>
  <c r="W125" i="9" a="1"/>
  <c r="X331" i="9" a="1"/>
  <c r="W332" i="9" a="1"/>
  <c r="W98" i="9" a="1"/>
  <c r="X353" i="9" a="1"/>
  <c r="X189" i="9" a="1"/>
  <c r="X251" i="9" a="1"/>
  <c r="W34" i="9" a="1"/>
  <c r="X53" i="9" a="1"/>
  <c r="X100" i="9" a="1"/>
  <c r="W244" i="9" a="1"/>
  <c r="W97" i="9" a="1"/>
  <c r="W123" i="9" a="1"/>
  <c r="W141" i="9" a="1"/>
  <c r="W284" i="9" a="1"/>
  <c r="W206" i="9" a="1"/>
  <c r="W169" i="9" a="1"/>
  <c r="X312" i="9" a="1"/>
  <c r="W57" i="9" a="1"/>
  <c r="X73" i="9" a="1"/>
  <c r="W4" i="9" a="1"/>
  <c r="W64" i="9" a="1"/>
  <c r="X168" i="9" a="1"/>
  <c r="X228" i="9" a="1"/>
  <c r="X303" i="9" a="1"/>
  <c r="X244" i="9" a="1"/>
  <c r="X349" i="9" a="1"/>
  <c r="X260" i="9" a="1"/>
  <c r="W80" i="9" a="1"/>
  <c r="W132" i="9" a="1"/>
  <c r="X51" i="9" a="1"/>
  <c r="W122" i="9" a="1"/>
  <c r="X224" i="9" a="1"/>
  <c r="X107" i="9" a="1"/>
  <c r="W325" i="9" a="1"/>
  <c r="X149" i="9" a="1"/>
  <c r="W251" i="9" a="1"/>
  <c r="X258" i="9" a="1"/>
  <c r="W186" i="9" a="1"/>
  <c r="X93" i="9" a="1"/>
  <c r="W361" i="9" a="1"/>
  <c r="X12" i="9" a="1"/>
  <c r="X92" i="9" a="1"/>
  <c r="W162" i="9" a="1"/>
  <c r="X294" i="9" a="1"/>
  <c r="W336" i="9" a="1"/>
  <c r="W115" i="9" a="1"/>
  <c r="X282" i="9" a="1"/>
  <c r="W140" i="9" a="1"/>
  <c r="X286" i="9" a="1"/>
  <c r="X270" i="9" a="1"/>
  <c r="W87" i="9" a="1"/>
  <c r="X203" i="9" a="1"/>
  <c r="X197" i="9" a="1"/>
  <c r="X77" i="9" a="1"/>
  <c r="W272" i="9" a="1"/>
  <c r="X60" i="9" a="1"/>
  <c r="W13" i="9" a="1"/>
  <c r="W153" i="9" a="1"/>
  <c r="W185" i="9" a="1"/>
  <c r="X11" i="9" a="1"/>
  <c r="W357" i="9" a="1"/>
  <c r="W216" i="9" a="1"/>
  <c r="W157" i="9" a="1"/>
  <c r="W41" i="9" a="1"/>
  <c r="W207" i="9" a="1"/>
  <c r="W23" i="9" a="1"/>
  <c r="W295" i="9" a="1"/>
  <c r="X56" i="9" a="1"/>
  <c r="W59" i="9" a="1"/>
  <c r="X291" i="9" a="1"/>
  <c r="W285" i="9" a="1"/>
  <c r="X39" i="9" a="1"/>
  <c r="W232" i="9" a="1"/>
  <c r="W317" i="9" a="1"/>
  <c r="X10" i="9" a="1"/>
  <c r="X213" i="9" a="1"/>
  <c r="X306" i="9" a="1"/>
  <c r="X327" i="9" a="1"/>
  <c r="W318" i="9" a="1"/>
  <c r="X256" i="9" a="1"/>
  <c r="X269" i="9" a="1"/>
  <c r="W346" i="9" a="1"/>
  <c r="W283" i="9" a="1"/>
  <c r="X296" i="9" a="1"/>
  <c r="W193" i="9" a="1"/>
  <c r="W208" i="9" a="1"/>
  <c r="X96" i="9" a="1"/>
  <c r="W27" i="9" a="1"/>
  <c r="X185" i="9" a="1"/>
  <c r="X85" i="9" a="1"/>
  <c r="X4" i="9" a="1"/>
  <c r="X129" i="9" a="1"/>
  <c r="W126" i="9" a="1"/>
  <c r="X307" i="9" a="1"/>
  <c r="W178" i="9" a="1"/>
  <c r="W79" i="9" a="1"/>
  <c r="W40" i="9" a="1"/>
  <c r="X30" i="9" a="1"/>
  <c r="X299" i="9" a="1"/>
  <c r="X298" i="9" a="1"/>
  <c r="X249" i="9" a="1"/>
  <c r="W330" i="9" a="1"/>
  <c r="X72" i="9" a="1"/>
  <c r="X355" i="9" a="1"/>
  <c r="X278" i="9" a="1"/>
  <c r="W266" i="9" a="1"/>
  <c r="X311" i="9" a="1"/>
  <c r="X334" i="9" a="1"/>
  <c r="X25" i="9" a="1"/>
  <c r="W20" i="9" a="1"/>
  <c r="X188" i="9" a="1"/>
  <c r="X52" i="9" a="1"/>
  <c r="X219" i="9" a="1"/>
  <c r="W249" i="9" a="1"/>
  <c r="X359" i="9" a="1"/>
  <c r="W164" i="9" a="1"/>
  <c r="X262" i="9" a="1"/>
  <c r="X89" i="9" a="1"/>
  <c r="X347" i="9" a="1"/>
  <c r="X223" i="9" a="1"/>
  <c r="W241" i="9" a="1"/>
  <c r="W234" i="9" a="1"/>
  <c r="W88" i="9" a="1"/>
  <c r="X363" i="9" a="1"/>
  <c r="X229" i="9" a="1"/>
  <c r="X320" i="9" a="1"/>
  <c r="X222" i="9" a="1"/>
  <c r="W271" i="9" a="1"/>
  <c r="W96" i="9" a="1"/>
  <c r="W201" i="9" a="1"/>
  <c r="X178" i="9" a="1"/>
  <c r="W192" i="9" a="1"/>
  <c r="W197" i="9" a="1"/>
  <c r="X308" i="9" a="1"/>
  <c r="W302" i="9" a="1"/>
  <c r="W61" i="9" a="1"/>
  <c r="W15" i="9" a="1"/>
  <c r="X115" i="9" a="1"/>
  <c r="W130" i="9" a="1"/>
  <c r="X253" i="9" a="1"/>
  <c r="W39" i="9" a="1"/>
  <c r="X7" i="9" a="1"/>
  <c r="X154" i="9" a="1"/>
  <c r="W255" i="9" a="1"/>
  <c r="X193" i="9" a="1"/>
  <c r="W247" i="9" a="1"/>
  <c r="W195" i="9" a="1"/>
  <c r="X218" i="9" a="1"/>
  <c r="X145" i="9" a="1"/>
  <c r="X324" i="9" a="1"/>
  <c r="W265" i="9" a="1"/>
  <c r="W331" i="9" a="1"/>
  <c r="X98" i="9" a="1"/>
  <c r="X202" i="9" a="1"/>
  <c r="X169" i="9" a="1"/>
  <c r="X49" i="9" a="1"/>
  <c r="W32" i="9" a="1"/>
  <c r="W158" i="9" a="1"/>
  <c r="X283" i="9" a="1"/>
  <c r="W293" i="9" a="1"/>
  <c r="W220" i="9" a="1"/>
  <c r="X279" i="9" a="1"/>
  <c r="X350" i="9" a="1"/>
  <c r="X35" i="9" a="1"/>
  <c r="X246" i="9" a="1"/>
  <c r="X87" i="9" a="1"/>
  <c r="W182" i="9" a="1"/>
  <c r="X275" i="9" a="1"/>
  <c r="X233" i="9" a="1"/>
  <c r="X136" i="9" a="1"/>
  <c r="W106" i="9" a="1"/>
  <c r="X175" i="9" a="1"/>
  <c r="X210" i="9" a="1"/>
  <c r="X38" i="9" a="1"/>
  <c r="W33" i="9" a="1"/>
  <c r="W166" i="9" a="1"/>
  <c r="X26" i="9" a="1"/>
  <c r="X33" i="9" a="1"/>
  <c r="X322" i="9" a="1"/>
  <c r="X212" i="9" a="1"/>
  <c r="X59" i="9" a="1"/>
  <c r="W65" i="9" a="1"/>
  <c r="W246" i="9" a="1"/>
  <c r="W308" i="9" a="1"/>
  <c r="X158" i="9" a="1"/>
  <c r="W48" i="9" a="1"/>
  <c r="X82" i="9" a="1"/>
  <c r="X335" i="9" a="1"/>
  <c r="X346" i="9" a="1"/>
  <c r="W67" i="9" a="1"/>
  <c r="X80" i="9" a="1"/>
  <c r="W114" i="9" a="1"/>
  <c r="X209" i="9" a="1"/>
  <c r="W121" i="9" a="1"/>
  <c r="W304" i="9" a="1"/>
  <c r="W92" i="9" a="1"/>
  <c r="W160" i="9" a="1"/>
  <c r="W9" i="9" a="1"/>
  <c r="W18" i="9" a="1"/>
  <c r="W222" i="9" a="1"/>
  <c r="W184" i="9" a="1"/>
  <c r="W248" i="9" a="1"/>
  <c r="X310" i="9" a="1"/>
  <c r="X214" i="9" a="1"/>
  <c r="W68" i="9" a="1"/>
  <c r="W156" i="9" a="1"/>
  <c r="X123" i="9" a="1"/>
  <c r="W3" i="9" a="1"/>
  <c r="W200" i="9" a="1"/>
  <c r="W145" i="9" a="1"/>
  <c r="W274" i="9" a="1"/>
  <c r="X162" i="9" a="1"/>
  <c r="W174" i="9" a="1"/>
  <c r="W19" i="9" a="1"/>
  <c r="X276" i="9" a="1"/>
  <c r="W203" i="9" a="1"/>
  <c r="W56" i="9" a="1"/>
  <c r="W155" i="9" a="1"/>
  <c r="X273" i="9" a="1"/>
  <c r="X55" i="9" a="1"/>
  <c r="X302" i="9" a="1"/>
  <c r="W230" i="9" a="1"/>
  <c r="W171" i="9" a="1"/>
  <c r="X14" i="9" a="1"/>
  <c r="W102" i="9" a="1"/>
  <c r="X199" i="9" a="1"/>
  <c r="W306" i="9" a="1"/>
  <c r="W351" i="9" a="1"/>
  <c r="X48" i="9" a="1"/>
  <c r="W104" i="9" a="1"/>
  <c r="X190" i="9" a="1"/>
  <c r="W347" i="9" a="1"/>
  <c r="X3" i="9" a="1"/>
  <c r="W103" i="9" a="1"/>
  <c r="W289" i="9" a="1"/>
  <c r="W345" i="9" a="1"/>
  <c r="W70" i="9" a="1"/>
  <c r="X139" i="9" a="1"/>
  <c r="W218" i="9" a="1"/>
  <c r="W194" i="9" a="1"/>
  <c r="X47" i="9" a="1"/>
  <c r="X343" i="9" a="1"/>
  <c r="X326" i="9" a="1"/>
  <c r="W11" i="9" a="1"/>
  <c r="X146" i="9" a="1"/>
  <c r="X325" i="9" a="1"/>
  <c r="W21" i="9" a="1"/>
  <c r="W258" i="9" a="1"/>
  <c r="X255" i="9" a="1"/>
  <c r="X268" i="9" a="1"/>
  <c r="X138" i="9" a="1"/>
  <c r="X220" i="9" a="1"/>
  <c r="X191" i="9" a="1"/>
  <c r="X254" i="9" a="1"/>
  <c r="X167" i="9" a="1"/>
  <c r="X81" i="9" a="1"/>
  <c r="W277" i="9" a="1"/>
  <c r="W350" i="9" a="1"/>
  <c r="W118" i="9" a="1"/>
  <c r="X336" i="9" a="1"/>
  <c r="W143" i="9" a="1"/>
  <c r="W245" i="9" a="1"/>
  <c r="W300" i="9" a="1"/>
  <c r="X290" i="9" a="1"/>
  <c r="X152" i="9" a="1"/>
  <c r="W17" i="9" a="1"/>
  <c r="X236" i="9" a="1"/>
  <c r="X201" i="9" a="1"/>
  <c r="W86" i="9" a="1"/>
  <c r="X226" i="9" a="1"/>
  <c r="X63" i="9" a="1"/>
  <c r="W47" i="9" a="1"/>
  <c r="W362" i="9" a="1"/>
  <c r="W349" i="9" a="1"/>
  <c r="X261" i="9" a="1"/>
  <c r="W198" i="9" a="1"/>
  <c r="W237" i="9" a="1"/>
  <c r="X248" i="9" a="1"/>
  <c r="X160" i="9" a="1"/>
  <c r="X131" i="9" a="1"/>
  <c r="W256" i="9" a="1"/>
  <c r="X141" i="9" a="1"/>
  <c r="W262" i="9" a="1"/>
  <c r="W335" i="9" a="1"/>
  <c r="W327" i="9" a="1"/>
  <c r="X64" i="9" a="1"/>
  <c r="X122" i="9" a="1"/>
  <c r="X61" i="9" a="1"/>
  <c r="W175" i="9" a="1"/>
  <c r="W176" i="9" a="1"/>
  <c r="W202" i="9" a="1"/>
  <c r="X323" i="9" a="1"/>
  <c r="W144" i="9" a="1"/>
  <c r="W204" i="9" a="1"/>
  <c r="W229" i="9" a="1"/>
  <c r="W279" i="9" a="1"/>
  <c r="W299" i="9" a="1"/>
  <c r="W319" i="9" a="1"/>
  <c r="W319" i="9" l="1"/>
  <c r="W299" i="9"/>
  <c r="W279" i="9"/>
  <c r="W229" i="9"/>
  <c r="W204" i="9"/>
  <c r="W144" i="9"/>
  <c r="X323" i="9"/>
  <c r="W202" i="9"/>
  <c r="W176" i="9"/>
  <c r="W175" i="9"/>
  <c r="X61" i="9"/>
  <c r="X122" i="9"/>
  <c r="X64" i="9"/>
  <c r="W327" i="9"/>
  <c r="W335" i="9"/>
  <c r="W262" i="9"/>
  <c r="X141" i="9"/>
  <c r="W256" i="9"/>
  <c r="X131" i="9"/>
  <c r="X160" i="9"/>
  <c r="X248" i="9"/>
  <c r="W237" i="9"/>
  <c r="W198" i="9"/>
  <c r="X261" i="9"/>
  <c r="W349" i="9"/>
  <c r="W362" i="9"/>
  <c r="W47" i="9"/>
  <c r="X63" i="9"/>
  <c r="X226" i="9"/>
  <c r="W86" i="9"/>
  <c r="X201" i="9"/>
  <c r="X236" i="9"/>
  <c r="W17" i="9"/>
  <c r="X152" i="9"/>
  <c r="X290" i="9"/>
  <c r="W300" i="9"/>
  <c r="W245" i="9"/>
  <c r="W143" i="9"/>
  <c r="X336" i="9"/>
  <c r="W118" i="9"/>
  <c r="W350" i="9"/>
  <c r="W277" i="9"/>
  <c r="X81" i="9"/>
  <c r="X167" i="9"/>
  <c r="X254" i="9"/>
  <c r="X191" i="9"/>
  <c r="X220" i="9"/>
  <c r="X138" i="9"/>
  <c r="X268" i="9"/>
  <c r="X255" i="9"/>
  <c r="W258" i="9"/>
  <c r="W21" i="9"/>
  <c r="X325" i="9"/>
  <c r="X146" i="9"/>
  <c r="W11" i="9"/>
  <c r="X326" i="9"/>
  <c r="X343" i="9"/>
  <c r="X47" i="9"/>
  <c r="W194" i="9"/>
  <c r="W218" i="9"/>
  <c r="X139" i="9"/>
  <c r="W70" i="9"/>
  <c r="W345" i="9"/>
  <c r="W289" i="9"/>
  <c r="W103" i="9"/>
  <c r="X3" i="9"/>
  <c r="W347" i="9"/>
  <c r="X190" i="9"/>
  <c r="W104" i="9"/>
  <c r="X48" i="9"/>
  <c r="W351" i="9"/>
  <c r="W306" i="9"/>
  <c r="X199" i="9"/>
  <c r="W102" i="9"/>
  <c r="X14" i="9"/>
  <c r="W171" i="9"/>
  <c r="W230" i="9"/>
  <c r="X302" i="9"/>
  <c r="X55" i="9"/>
  <c r="X273" i="9"/>
  <c r="W155" i="9"/>
  <c r="W56" i="9"/>
  <c r="W203" i="9"/>
  <c r="X276" i="9"/>
  <c r="W19" i="9"/>
  <c r="W174" i="9"/>
  <c r="X162" i="9"/>
  <c r="W274" i="9"/>
  <c r="W145" i="9"/>
  <c r="W200" i="9"/>
  <c r="W3" i="9"/>
  <c r="X123" i="9"/>
  <c r="W156" i="9"/>
  <c r="W68" i="9"/>
  <c r="X214" i="9"/>
  <c r="X310" i="9"/>
  <c r="W248" i="9"/>
  <c r="W184" i="9"/>
  <c r="W222" i="9"/>
  <c r="W18" i="9"/>
  <c r="W9" i="9"/>
  <c r="W160" i="9"/>
  <c r="W92" i="9"/>
  <c r="W304" i="9"/>
  <c r="W121" i="9"/>
  <c r="X209" i="9"/>
  <c r="W114" i="9"/>
  <c r="X80" i="9"/>
  <c r="W67" i="9"/>
  <c r="X346" i="9"/>
  <c r="X335" i="9"/>
  <c r="X82" i="9"/>
  <c r="W48" i="9"/>
  <c r="X158" i="9"/>
  <c r="W308" i="9"/>
  <c r="W246" i="9"/>
  <c r="W65" i="9"/>
  <c r="X59" i="9"/>
  <c r="X212" i="9"/>
  <c r="X322" i="9"/>
  <c r="X33" i="9"/>
  <c r="X26" i="9"/>
  <c r="W166" i="9"/>
  <c r="W33" i="9"/>
  <c r="X38" i="9"/>
  <c r="X210" i="9"/>
  <c r="X175" i="9"/>
  <c r="W106" i="9"/>
  <c r="X136" i="9"/>
  <c r="X233" i="9"/>
  <c r="X275" i="9"/>
  <c r="W182" i="9"/>
  <c r="X87" i="9"/>
  <c r="X246" i="9"/>
  <c r="X35" i="9"/>
  <c r="X350" i="9"/>
  <c r="X279" i="9"/>
  <c r="W220" i="9"/>
  <c r="W293" i="9"/>
  <c r="X283" i="9"/>
  <c r="W158" i="9"/>
  <c r="W32" i="9"/>
  <c r="X49" i="9"/>
  <c r="X169" i="9"/>
  <c r="X202" i="9"/>
  <c r="X98" i="9"/>
  <c r="W331" i="9"/>
  <c r="W265" i="9"/>
  <c r="X324" i="9"/>
  <c r="X145" i="9"/>
  <c r="X218" i="9"/>
  <c r="W195" i="9"/>
  <c r="W247" i="9"/>
  <c r="X193" i="9"/>
  <c r="W255" i="9"/>
  <c r="X154" i="9"/>
  <c r="X7" i="9"/>
  <c r="W39" i="9"/>
  <c r="X253" i="9"/>
  <c r="W130" i="9"/>
  <c r="X115" i="9"/>
  <c r="W15" i="9"/>
  <c r="W61" i="9"/>
  <c r="W302" i="9"/>
  <c r="X308" i="9"/>
  <c r="W197" i="9"/>
  <c r="W192" i="9"/>
  <c r="X178" i="9"/>
  <c r="W201" i="9"/>
  <c r="W96" i="9"/>
  <c r="W271" i="9"/>
  <c r="X222" i="9"/>
  <c r="X320" i="9"/>
  <c r="X229" i="9"/>
  <c r="X363" i="9"/>
  <c r="W88" i="9"/>
  <c r="W234" i="9"/>
  <c r="W241" i="9"/>
  <c r="X223" i="9"/>
  <c r="X347" i="9"/>
  <c r="X89" i="9"/>
  <c r="X262" i="9"/>
  <c r="W164" i="9"/>
  <c r="X359" i="9"/>
  <c r="W249" i="9"/>
  <c r="X219" i="9"/>
  <c r="X52" i="9"/>
  <c r="X188" i="9"/>
  <c r="W20" i="9"/>
  <c r="X25" i="9"/>
  <c r="X334" i="9"/>
  <c r="X311" i="9"/>
  <c r="W266" i="9"/>
  <c r="X278" i="9"/>
  <c r="X355" i="9"/>
  <c r="X72" i="9"/>
  <c r="W330" i="9"/>
  <c r="X249" i="9"/>
  <c r="X298" i="9"/>
  <c r="X299" i="9"/>
  <c r="X30" i="9"/>
  <c r="W40" i="9"/>
  <c r="W79" i="9"/>
  <c r="W178" i="9"/>
  <c r="X307" i="9"/>
  <c r="W126" i="9"/>
  <c r="X129" i="9"/>
  <c r="X4" i="9"/>
  <c r="X85" i="9"/>
  <c r="X185" i="9"/>
  <c r="W27" i="9"/>
  <c r="X96" i="9"/>
  <c r="W208" i="9"/>
  <c r="W193" i="9"/>
  <c r="X296" i="9"/>
  <c r="W283" i="9"/>
  <c r="W346" i="9"/>
  <c r="X269" i="9"/>
  <c r="X256" i="9"/>
  <c r="W318" i="9"/>
  <c r="X327" i="9"/>
  <c r="X306" i="9"/>
  <c r="X213" i="9"/>
  <c r="X10" i="9"/>
  <c r="W317" i="9"/>
  <c r="W232" i="9"/>
  <c r="X39" i="9"/>
  <c r="W285" i="9"/>
  <c r="X291" i="9"/>
  <c r="W59" i="9"/>
  <c r="X56" i="9"/>
  <c r="W295" i="9"/>
  <c r="W23" i="9"/>
  <c r="W207" i="9"/>
  <c r="W41" i="9"/>
  <c r="W157" i="9"/>
  <c r="W216" i="9"/>
  <c r="W357" i="9"/>
  <c r="X11" i="9"/>
  <c r="W185" i="9"/>
  <c r="W153" i="9"/>
  <c r="W13" i="9"/>
  <c r="X60" i="9"/>
  <c r="W272" i="9"/>
  <c r="X77" i="9"/>
  <c r="X197" i="9"/>
  <c r="X203" i="9"/>
  <c r="W87" i="9"/>
  <c r="X270" i="9"/>
  <c r="X286" i="9"/>
  <c r="W140" i="9"/>
  <c r="X282" i="9"/>
  <c r="W115" i="9"/>
  <c r="W336" i="9"/>
  <c r="X294" i="9"/>
  <c r="W162" i="9"/>
  <c r="X92" i="9"/>
  <c r="X12" i="9"/>
  <c r="W361" i="9"/>
  <c r="X93" i="9"/>
  <c r="W186" i="9"/>
  <c r="X258" i="9"/>
  <c r="W251" i="9"/>
  <c r="X149" i="9"/>
  <c r="W325" i="9"/>
  <c r="X107" i="9"/>
  <c r="X224" i="9"/>
  <c r="W122" i="9"/>
  <c r="X51" i="9"/>
  <c r="W132" i="9"/>
  <c r="W80" i="9"/>
  <c r="X260" i="9"/>
  <c r="X349" i="9"/>
  <c r="X244" i="9"/>
  <c r="X303" i="9"/>
  <c r="X228" i="9"/>
  <c r="X168" i="9"/>
  <c r="W64" i="9"/>
  <c r="W4" i="9"/>
  <c r="X73" i="9"/>
  <c r="W57" i="9"/>
  <c r="X312" i="9"/>
  <c r="W169" i="9"/>
  <c r="W206" i="9"/>
  <c r="W284" i="9"/>
  <c r="W141" i="9"/>
  <c r="W123" i="9"/>
  <c r="W97" i="9"/>
  <c r="W244" i="9"/>
  <c r="X100" i="9"/>
  <c r="X53" i="9"/>
  <c r="W34" i="9"/>
  <c r="X251" i="9"/>
  <c r="X189" i="9"/>
  <c r="X353" i="9"/>
  <c r="W98" i="9"/>
  <c r="W332" i="9"/>
  <c r="X331" i="9"/>
  <c r="W125" i="9"/>
  <c r="W303" i="9"/>
  <c r="W323" i="9"/>
  <c r="X186" i="9"/>
  <c r="W313" i="9"/>
  <c r="X19" i="9"/>
  <c r="X83" i="9"/>
  <c r="W84" i="9"/>
  <c r="W339" i="9"/>
  <c r="X221" i="9"/>
  <c r="X130" i="9"/>
  <c r="X66" i="9"/>
  <c r="W273" i="9"/>
  <c r="W161" i="9"/>
  <c r="W227" i="9"/>
  <c r="W36" i="9"/>
  <c r="W99" i="9"/>
  <c r="W309" i="9"/>
  <c r="X78" i="9"/>
  <c r="X361" i="9"/>
  <c r="W217" i="9"/>
  <c r="X94" i="9"/>
  <c r="W196" i="9"/>
  <c r="W133" i="9"/>
  <c r="X128" i="9"/>
  <c r="W364" i="9"/>
  <c r="W62" i="9"/>
  <c r="X121" i="9"/>
  <c r="X252" i="9"/>
  <c r="X20" i="9"/>
  <c r="X156" i="9"/>
  <c r="W338" i="9"/>
  <c r="X134" i="9"/>
  <c r="W150" i="9"/>
  <c r="W233" i="9"/>
  <c r="X148" i="9"/>
  <c r="X237" i="9"/>
  <c r="X295" i="9"/>
  <c r="X181" i="9"/>
  <c r="X304" i="9"/>
  <c r="X127" i="9"/>
  <c r="X332" i="9"/>
  <c r="W6" i="9"/>
  <c r="W137" i="9"/>
  <c r="X90" i="9"/>
  <c r="W136" i="9"/>
  <c r="X126" i="9"/>
  <c r="W354" i="9"/>
  <c r="W2" i="9"/>
  <c r="X266" i="9"/>
  <c r="X120" i="9"/>
  <c r="X144" i="9"/>
  <c r="X57" i="9"/>
  <c r="W257" i="9"/>
  <c r="W46" i="9"/>
  <c r="W326" i="9"/>
  <c r="W72" i="9"/>
  <c r="W49" i="9"/>
  <c r="X41" i="9"/>
  <c r="W211" i="9"/>
  <c r="X316" i="9"/>
  <c r="W8" i="9"/>
  <c r="W170" i="9"/>
  <c r="W26" i="9"/>
  <c r="X99" i="9"/>
  <c r="X143" i="9"/>
  <c r="X8" i="9"/>
  <c r="W209" i="9"/>
  <c r="X317" i="9"/>
  <c r="W82" i="9"/>
  <c r="X62" i="9"/>
  <c r="X182" i="9"/>
  <c r="X342" i="9"/>
  <c r="W25" i="9"/>
  <c r="W10" i="9"/>
  <c r="W333" i="9"/>
  <c r="W69" i="9"/>
  <c r="W38" i="9"/>
  <c r="W165" i="9"/>
  <c r="W294" i="9"/>
  <c r="W191" i="9"/>
  <c r="W183" i="9"/>
  <c r="W71" i="9"/>
  <c r="X45" i="9"/>
  <c r="X362" i="9"/>
  <c r="W205" i="9"/>
  <c r="X267" i="9"/>
  <c r="X354" i="9"/>
  <c r="W253" i="9"/>
  <c r="X259" i="9"/>
  <c r="X58" i="9"/>
  <c r="X24" i="9"/>
  <c r="X281" i="9"/>
  <c r="W292" i="9"/>
  <c r="X205" i="9"/>
  <c r="X16" i="9"/>
  <c r="W163" i="9"/>
  <c r="W324" i="9"/>
  <c r="X230" i="9"/>
  <c r="W85" i="9"/>
  <c r="W117" i="9"/>
  <c r="W312" i="9"/>
  <c r="W135" i="9"/>
  <c r="X172" i="9"/>
  <c r="W127" i="9"/>
  <c r="X65" i="9"/>
  <c r="W296" i="9"/>
  <c r="W76" i="9"/>
  <c r="W340" i="9"/>
  <c r="X177" i="9"/>
  <c r="W89" i="9"/>
  <c r="W167" i="9"/>
  <c r="X42" i="9"/>
  <c r="X43" i="9"/>
  <c r="W224" i="9"/>
  <c r="W81" i="9"/>
  <c r="W119" i="9"/>
  <c r="X18" i="9"/>
  <c r="X97" i="9"/>
  <c r="W16" i="9"/>
  <c r="X15" i="9"/>
  <c r="X309" i="9"/>
  <c r="W100" i="9"/>
  <c r="W14" i="9"/>
  <c r="W93" i="9"/>
  <c r="X184" i="9"/>
  <c r="W189" i="9"/>
  <c r="W270" i="9"/>
  <c r="X265" i="9"/>
  <c r="X338" i="9"/>
  <c r="X344" i="9"/>
  <c r="W328" i="9"/>
  <c r="W138" i="9"/>
  <c r="X274" i="9"/>
  <c r="W342" i="9"/>
  <c r="W226" i="9"/>
  <c r="X241" i="9"/>
  <c r="W75" i="9"/>
  <c r="W344" i="9"/>
  <c r="W282" i="9"/>
  <c r="X54" i="9"/>
  <c r="X155" i="9"/>
  <c r="W78" i="9"/>
  <c r="W168" i="9"/>
  <c r="X284" i="9"/>
  <c r="X159" i="9"/>
  <c r="X333" i="9"/>
  <c r="W358" i="9"/>
  <c r="X339" i="9"/>
  <c r="W210" i="9"/>
  <c r="W181" i="9"/>
  <c r="X352" i="9"/>
  <c r="W307" i="9"/>
  <c r="X289" i="9"/>
  <c r="X277" i="9"/>
  <c r="X40" i="9"/>
  <c r="X192" i="9"/>
  <c r="X176" i="9"/>
  <c r="W286" i="9"/>
  <c r="W269" i="9"/>
  <c r="W268" i="9"/>
  <c r="W116" i="9"/>
  <c r="W73" i="9"/>
  <c r="W151" i="9"/>
  <c r="X288" i="9"/>
  <c r="X211" i="9"/>
  <c r="X95" i="9"/>
  <c r="X171" i="9"/>
  <c r="X272" i="9"/>
  <c r="X315" i="9"/>
  <c r="X231" i="9"/>
  <c r="W360" i="9"/>
  <c r="X285" i="9"/>
  <c r="W77" i="9"/>
  <c r="W316" i="9"/>
  <c r="X232" i="9"/>
  <c r="X157" i="9"/>
  <c r="W353" i="9"/>
  <c r="X364" i="9"/>
  <c r="W261" i="9"/>
  <c r="X200" i="9"/>
  <c r="W337" i="9"/>
  <c r="W213" i="9"/>
  <c r="W188" i="9"/>
  <c r="X194" i="9"/>
  <c r="X183" i="9"/>
  <c r="X22" i="9"/>
  <c r="W24" i="9"/>
  <c r="W322" i="9"/>
  <c r="W242" i="9"/>
  <c r="X318" i="9"/>
  <c r="W298" i="9"/>
  <c r="X163" i="9"/>
  <c r="X142" i="9"/>
  <c r="X28" i="9"/>
  <c r="X271" i="9"/>
  <c r="W238" i="9"/>
  <c r="X280" i="9"/>
  <c r="W52" i="9"/>
  <c r="W43" i="9"/>
  <c r="W239" i="9"/>
  <c r="W315" i="9"/>
  <c r="X44" i="9"/>
  <c r="X321" i="9"/>
  <c r="X70" i="9"/>
  <c r="X301" i="9"/>
  <c r="X238" i="9"/>
  <c r="W22" i="9"/>
  <c r="W264" i="9"/>
  <c r="X117" i="9"/>
  <c r="X124" i="9"/>
  <c r="X9" i="9"/>
  <c r="X67" i="9"/>
  <c r="W259" i="9"/>
  <c r="X187" i="9"/>
  <c r="X341" i="9"/>
  <c r="X101" i="9"/>
  <c r="X287" i="9"/>
  <c r="X170" i="9"/>
  <c r="X297" i="9"/>
  <c r="X119" i="9"/>
  <c r="W63" i="9"/>
  <c r="X27" i="9"/>
  <c r="X234" i="9"/>
  <c r="W311" i="9"/>
  <c r="X196" i="9"/>
  <c r="W359" i="9"/>
  <c r="W28" i="9"/>
  <c r="X50" i="9"/>
  <c r="W124" i="9"/>
  <c r="W12" i="9"/>
  <c r="W276" i="9"/>
  <c r="X31" i="9"/>
  <c r="X198" i="9"/>
  <c r="W105" i="9"/>
  <c r="W83" i="9"/>
  <c r="X69" i="9"/>
  <c r="X330" i="9"/>
  <c r="X358" i="9"/>
  <c r="W280" i="9"/>
  <c r="X106" i="9"/>
  <c r="W152" i="9"/>
  <c r="W107" i="9"/>
  <c r="W134" i="9"/>
  <c r="W355" i="9"/>
  <c r="X225" i="9"/>
  <c r="W363" i="9"/>
  <c r="W297" i="9"/>
  <c r="X34" i="9"/>
  <c r="W314" i="9"/>
  <c r="W147" i="9"/>
  <c r="X239" i="9"/>
  <c r="X319" i="9"/>
  <c r="X217" i="9"/>
  <c r="W212" i="9"/>
  <c r="W223" i="9"/>
  <c r="W128" i="9"/>
  <c r="X21" i="9"/>
  <c r="X180" i="9"/>
  <c r="X135" i="9"/>
  <c r="W343" i="9"/>
  <c r="W148" i="9"/>
  <c r="W53" i="9"/>
  <c r="X345" i="9"/>
  <c r="W35" i="9"/>
  <c r="W275" i="9"/>
  <c r="X292" i="9"/>
  <c r="W180" i="9"/>
  <c r="X108" i="9"/>
  <c r="W243" i="9"/>
  <c r="W55" i="9"/>
  <c r="X207" i="9"/>
  <c r="W45" i="9"/>
  <c r="W252" i="9"/>
  <c r="X314" i="9"/>
  <c r="W287" i="9"/>
  <c r="X250" i="9"/>
  <c r="W236" i="9"/>
  <c r="X165" i="9"/>
  <c r="X206" i="9"/>
  <c r="W278" i="9"/>
  <c r="W139" i="9"/>
  <c r="X71" i="9"/>
  <c r="W120" i="9"/>
  <c r="X88" i="9"/>
  <c r="X240" i="9"/>
  <c r="X242" i="9"/>
  <c r="X174" i="9"/>
  <c r="X5" i="9"/>
  <c r="W37" i="9"/>
  <c r="X103" i="9"/>
  <c r="X116" i="9"/>
  <c r="W58" i="9"/>
  <c r="W42" i="9"/>
  <c r="X245" i="9"/>
  <c r="X79" i="9"/>
  <c r="W51" i="9"/>
  <c r="X356" i="9"/>
  <c r="X125" i="9"/>
  <c r="W44" i="9"/>
  <c r="W263" i="9"/>
  <c r="W66" i="9"/>
  <c r="W7" i="9"/>
  <c r="W173" i="9"/>
  <c r="W5" i="9"/>
  <c r="W149" i="9"/>
  <c r="W291" i="9"/>
  <c r="W129" i="9"/>
  <c r="W94" i="9"/>
  <c r="X86" i="9"/>
  <c r="W310" i="9"/>
  <c r="X329" i="9"/>
  <c r="X153" i="9"/>
  <c r="W187" i="9"/>
  <c r="W199" i="9"/>
  <c r="W228" i="9"/>
  <c r="X104" i="9"/>
  <c r="X305" i="9"/>
  <c r="X74" i="9"/>
  <c r="W142" i="9"/>
  <c r="W225" i="9"/>
  <c r="X300" i="9"/>
  <c r="X337" i="9"/>
  <c r="X235" i="9"/>
  <c r="X140" i="9"/>
  <c r="X263" i="9"/>
  <c r="X75" i="9"/>
  <c r="X132" i="9"/>
  <c r="X195" i="9"/>
  <c r="W159" i="9"/>
  <c r="X2" i="9"/>
  <c r="W30" i="9"/>
  <c r="W235" i="9"/>
  <c r="X313" i="9"/>
  <c r="W348" i="9"/>
  <c r="X348" i="9"/>
  <c r="W95" i="9"/>
  <c r="W50" i="9"/>
  <c r="X118" i="9"/>
  <c r="W131" i="9"/>
  <c r="X164" i="9"/>
  <c r="W74" i="9"/>
  <c r="W172" i="9"/>
  <c r="X6" i="9"/>
  <c r="W101" i="9"/>
  <c r="W60" i="9"/>
  <c r="X216" i="9"/>
  <c r="W305" i="9"/>
  <c r="W260" i="9"/>
  <c r="X137" i="9"/>
  <c r="W146" i="9"/>
  <c r="X208" i="9"/>
  <c r="X23" i="9"/>
  <c r="W290" i="9"/>
  <c r="W221" i="9"/>
  <c r="X166" i="9"/>
  <c r="W29" i="9"/>
  <c r="W177" i="9"/>
  <c r="X36" i="9"/>
  <c r="X360" i="9"/>
  <c r="W250" i="9"/>
  <c r="W231" i="9"/>
  <c r="W219" i="9"/>
  <c r="W190" i="9"/>
  <c r="X243" i="9"/>
  <c r="X204" i="9"/>
  <c r="W334" i="9"/>
  <c r="X150" i="9"/>
  <c r="W356" i="9"/>
  <c r="X257" i="9"/>
  <c r="W214" i="9"/>
  <c r="W329" i="9"/>
  <c r="X264" i="9"/>
  <c r="W240" i="9"/>
  <c r="X17" i="9"/>
  <c r="X46" i="9"/>
  <c r="X29" i="9"/>
  <c r="X102" i="9"/>
  <c r="X179" i="9"/>
  <c r="W301" i="9"/>
  <c r="W91" i="9"/>
  <c r="X215" i="9"/>
  <c r="X293" i="9"/>
  <c r="X340" i="9"/>
  <c r="X357" i="9"/>
  <c r="X227" i="9"/>
  <c r="W281" i="9"/>
  <c r="W31" i="9"/>
  <c r="X32" i="9"/>
  <c r="X173" i="9"/>
  <c r="X351" i="9"/>
  <c r="W215" i="9"/>
  <c r="X114" i="9"/>
  <c r="X37" i="9"/>
  <c r="W352" i="9"/>
  <c r="W154" i="9"/>
  <c r="X328" i="9"/>
  <c r="X105" i="9"/>
  <c r="X147" i="9"/>
  <c r="X161" i="9"/>
  <c r="W341" i="9"/>
  <c r="X133" i="9"/>
  <c r="X76" i="9"/>
  <c r="X13" i="9"/>
  <c r="W254" i="9"/>
  <c r="X84" i="9"/>
  <c r="X68" i="9"/>
  <c r="X91" i="9"/>
  <c r="W288" i="9"/>
  <c r="W54" i="9"/>
  <c r="W320" i="9"/>
  <c r="W179" i="9"/>
  <c r="X247" i="9"/>
  <c r="X151" i="9"/>
  <c r="W90" i="9"/>
  <c r="W267" i="9"/>
  <c r="W321" i="9"/>
  <c r="C126" i="8"/>
  <c r="C108" i="8"/>
  <c r="C90" i="8"/>
  <c r="C72" i="8"/>
  <c r="C132" i="8"/>
  <c r="C114" i="8"/>
  <c r="C96" i="8"/>
  <c r="C78" i="8"/>
  <c r="C144" i="8"/>
  <c r="C120" i="8"/>
  <c r="C102" i="8"/>
  <c r="C84" i="8"/>
  <c r="C150" i="8"/>
  <c r="C148" i="8"/>
  <c r="C138" i="8"/>
  <c r="C115" i="8"/>
  <c r="C109" i="8"/>
  <c r="C103" i="8"/>
  <c r="C97" i="8"/>
  <c r="C91" i="8"/>
  <c r="C85" i="8"/>
  <c r="C79" i="8"/>
  <c r="C73" i="8"/>
  <c r="C67" i="8"/>
  <c r="C61" i="8"/>
  <c r="C25" i="8"/>
  <c r="C19" i="8"/>
  <c r="C66" i="8"/>
  <c r="C60" i="8"/>
  <c r="C54" i="8"/>
  <c r="C48" i="8"/>
  <c r="C42" i="8"/>
  <c r="C36" i="8"/>
  <c r="C30" i="8"/>
  <c r="C24" i="8"/>
  <c r="C162" i="8"/>
  <c r="C156" i="8"/>
  <c r="C168" i="8"/>
  <c r="L22" i="5"/>
  <c r="L70" i="5"/>
  <c r="K86" i="5"/>
  <c r="K38" i="5"/>
  <c r="K78" i="5"/>
  <c r="C13" i="8"/>
  <c r="C16" i="8"/>
  <c r="C22" i="8"/>
  <c r="C164" i="8"/>
  <c r="C158" i="8"/>
  <c r="C152" i="8"/>
  <c r="C146" i="8"/>
  <c r="C140" i="8"/>
  <c r="C134" i="8"/>
  <c r="C128" i="8"/>
  <c r="C122" i="8"/>
  <c r="C116" i="8"/>
  <c r="C110" i="8"/>
  <c r="C104" i="8"/>
  <c r="C98" i="8"/>
  <c r="C92" i="8"/>
  <c r="C86" i="8"/>
  <c r="C80" i="8"/>
  <c r="C74" i="8"/>
  <c r="C68" i="8"/>
  <c r="C62" i="8"/>
  <c r="C56" i="8"/>
  <c r="C50" i="8"/>
  <c r="C44" i="8"/>
  <c r="C38" i="8"/>
  <c r="C32" i="8"/>
  <c r="C26" i="8"/>
  <c r="C20" i="8"/>
  <c r="C14" i="8"/>
  <c r="C170" i="8"/>
  <c r="C55" i="8"/>
  <c r="C49" i="8"/>
  <c r="C43" i="8"/>
  <c r="C37" i="8"/>
  <c r="C31" i="8"/>
  <c r="C167" i="8"/>
  <c r="C161" i="8"/>
  <c r="C155" i="8"/>
  <c r="C149" i="8"/>
  <c r="C143" i="8"/>
  <c r="C137" i="8"/>
  <c r="C131" i="8"/>
  <c r="C125" i="8"/>
  <c r="C119" i="8"/>
  <c r="C113" i="8"/>
  <c r="C107" i="8"/>
  <c r="C101" i="8"/>
  <c r="C95" i="8"/>
  <c r="C89" i="8"/>
  <c r="C83" i="8"/>
  <c r="C77" i="8"/>
  <c r="C71" i="8"/>
  <c r="C65" i="8"/>
  <c r="C59" i="8"/>
  <c r="C53" i="8"/>
  <c r="C47" i="8"/>
  <c r="C41" i="8"/>
  <c r="C35" i="8"/>
  <c r="C29" i="8"/>
  <c r="C23" i="8"/>
  <c r="C17" i="8"/>
  <c r="C166" i="8"/>
  <c r="C160" i="8"/>
  <c r="C11" i="8"/>
  <c r="C154" i="8"/>
  <c r="C159" i="8"/>
  <c r="C135" i="8"/>
  <c r="C123" i="8"/>
  <c r="C111" i="8"/>
  <c r="C99" i="8"/>
  <c r="C87" i="8"/>
  <c r="C75" i="8"/>
  <c r="C69" i="8"/>
  <c r="C63" i="8"/>
  <c r="C57" i="8"/>
  <c r="C51" i="8"/>
  <c r="C45" i="8"/>
  <c r="C39" i="8"/>
  <c r="C33" i="8"/>
  <c r="C27" i="8"/>
  <c r="C21" i="8"/>
  <c r="C15" i="8"/>
  <c r="C165" i="8"/>
  <c r="C141" i="8"/>
  <c r="C129" i="8"/>
  <c r="C117" i="8"/>
  <c r="C105" i="8"/>
  <c r="C93" i="8"/>
  <c r="C81" i="8"/>
  <c r="C171" i="8"/>
  <c r="C147" i="8"/>
  <c r="C153" i="8"/>
  <c r="C18" i="8"/>
  <c r="C12" i="8"/>
  <c r="K27" i="5"/>
  <c r="K39" i="5"/>
  <c r="K51" i="5"/>
  <c r="K63" i="5"/>
  <c r="K75" i="5"/>
  <c r="K87" i="5"/>
  <c r="K16" i="5"/>
  <c r="K28" i="5"/>
  <c r="K40" i="5"/>
  <c r="K52" i="5"/>
  <c r="K64" i="5"/>
  <c r="K76" i="5"/>
  <c r="K82" i="5"/>
  <c r="K88" i="5"/>
  <c r="K9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tc={21E58280-3870-5548-86A4-52540E62C898}</author>
    <author>tc={5719AAC7-1D39-6644-A6AC-4EB8CA5CD9ED}</author>
  </authors>
  <commentList>
    <comment ref="T1" authorId="0" shapeId="0" xr:uid="{21E58280-3870-5548-86A4-52540E62C898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TVD - Upper marker TVD</t>
      </text>
    </comment>
    <comment ref="V1" authorId="1" shapeId="0" xr:uid="{5719AAC7-1D39-6644-A6AC-4EB8CA5CD9ED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TVD - Lower marker TVD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9E6183B-0797-3141-BDFB-CEA6CEB79948}" keepAlive="1" name="Query - Survey" description="Connection to the 'Survey' query in the workbook." type="5" refreshedVersion="0" background="1" saveData="1">
    <dbPr connection="Provider=Microsoft.Mashup.OleDb.1;Data Source=$Workbook$;Location=Survey;Extended Properties=&quot;&quot;" command="SELECT * FROM [Surve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<sst xmlns="http://schemas.openxmlformats.org/spreadsheetml/2006/main" count="77" uniqueCount="50">
  <si>
    <t>MD (m)</t>
  </si>
  <si>
    <t>TVD (m)</t>
  </si>
  <si>
    <t>DLS (deg/30m)</t>
  </si>
  <si>
    <t>Inclination</t>
  </si>
  <si>
    <t>Azimuth</t>
  </si>
  <si>
    <t>TVDSS</t>
  </si>
  <si>
    <t>DLS</t>
  </si>
  <si>
    <t>Inc</t>
  </si>
  <si>
    <t>Azi</t>
  </si>
  <si>
    <t>Survey</t>
  </si>
  <si>
    <t>Marker</t>
  </si>
  <si>
    <t>Z (Survey)</t>
  </si>
  <si>
    <t>MD (Survey)</t>
  </si>
  <si>
    <t>Target</t>
  </si>
  <si>
    <t>Top Target</t>
  </si>
  <si>
    <t>Base Target</t>
  </si>
  <si>
    <t>TVDSS (m)</t>
  </si>
  <si>
    <t>(m)</t>
  </si>
  <si>
    <t>Max</t>
  </si>
  <si>
    <t>Min</t>
  </si>
  <si>
    <t>Only modify cells in yellow. MD and TVD columns are then pasted and sorted in the template to accomodate the perforations and plug depths</t>
  </si>
  <si>
    <t>MD
(m)</t>
  </si>
  <si>
    <t>TVD
(m)</t>
  </si>
  <si>
    <t>Inclination
(deg)</t>
  </si>
  <si>
    <t>Azimuth
(deg)</t>
  </si>
  <si>
    <t>DLS
(deg/30m)</t>
  </si>
  <si>
    <t>MD
(m)2</t>
  </si>
  <si>
    <t>TVD
(m)2</t>
  </si>
  <si>
    <t>Inclination
(deg)2</t>
  </si>
  <si>
    <t>Azimuth
(deg)2</t>
  </si>
  <si>
    <t>DLS
(deg/30m)2</t>
  </si>
  <si>
    <t>mTVD
Lower
Marker</t>
  </si>
  <si>
    <t>Delta
Lower
(m)</t>
  </si>
  <si>
    <t>mTVD
Upper
Marker</t>
  </si>
  <si>
    <t>Delta
Upper
(m)</t>
  </si>
  <si>
    <t>Perf Cluster
Flag
(1/0)</t>
  </si>
  <si>
    <t>Stage
Plug Flag
(1/0)</t>
  </si>
  <si>
    <t>Deformation
Flag
(1/0)</t>
  </si>
  <si>
    <t>Plug Depth
Plan
(m)</t>
  </si>
  <si>
    <t>Metres
Lost
(m)</t>
  </si>
  <si>
    <t>North</t>
  </si>
  <si>
    <t>East</t>
  </si>
  <si>
    <t>Build</t>
  </si>
  <si>
    <t>Turn</t>
  </si>
  <si>
    <t>North2</t>
  </si>
  <si>
    <t>East2</t>
  </si>
  <si>
    <t>Build2</t>
  </si>
  <si>
    <t>Turn2</t>
  </si>
  <si>
    <t>Pf (psi)</t>
  </si>
  <si>
    <t>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</si>
</sst>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sz val="11"/>
      <color theme="4"/>
      <name val="Calibri"/>
      <family val="2"/>
      <scheme val="minor"/>
    </font>
    <font>
      <sz val="10"/>
      <color theme="4"/>
      <name val="Arial"/>
      <family val="2"/>
    </font>
    <font>
      <sz val="12"/>
      <color theme="4"/>
      <name val="Calibri"/>
      <family val="2"/>
      <scheme val="minor"/>
    </font>
    <font>
      <sz val="11"/>
      <color rgb="FF0432FF"/>
      <name val="Calibri"/>
      <family val="2"/>
      <scheme val="minor"/>
    </font>
    <font>
      <sz val="10"/>
      <color rgb="FF0432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rgb="FF7030A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6">
    <xf numFmtId="0" fontId="0" fillId="0" borderId="0" xfId="0"/>
    <xf numFmtId="2" fontId="5" fillId="0" borderId="0" xfId="0" applyNumberFormat="1" applyFont="1" applyAlignment="1">
      <alignment horizontal="center"/>
    </xf>
    <xf numFmtId="2" fontId="1" fillId="0" borderId="0" xfId="1" applyNumberFormat="1" applyAlignment="1">
      <alignment horizontal="center"/>
    </xf>
    <xf numFmtId="2" fontId="1" fillId="0" borderId="9" xfId="1" applyNumberForma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2" fontId="0" fillId="0" borderId="0" xfId="0" applyNumberFormat="1"/>
    <xf numFmtId="2" fontId="1" fillId="0" borderId="10" xfId="1" applyNumberFormat="1" applyBorder="1" applyAlignment="1">
      <alignment horizontal="center"/>
    </xf>
    <xf numFmtId="2" fontId="1" fillId="0" borderId="8" xfId="1" applyNumberFormat="1" applyBorder="1" applyAlignment="1">
      <alignment horizontal="center"/>
    </xf>
    <xf numFmtId="2" fontId="5" fillId="0" borderId="9" xfId="0" applyNumberFormat="1" applyFont="1" applyBorder="1" applyAlignment="1">
      <alignment horizontal="center"/>
    </xf>
    <xf numFmtId="0" fontId="1" fillId="2" borderId="9" xfId="1" applyFill="1" applyBorder="1" applyAlignment="1">
      <alignment horizontal="center"/>
    </xf>
    <xf numFmtId="0" fontId="1" fillId="3" borderId="9" xfId="1" applyFill="1" applyBorder="1" applyAlignment="1">
      <alignment horizontal="center"/>
    </xf>
    <xf numFmtId="0" fontId="1" fillId="2" borderId="18" xfId="1" applyFill="1" applyBorder="1" applyAlignment="1">
      <alignment horizontal="center"/>
    </xf>
    <xf numFmtId="0" fontId="1" fillId="3" borderId="18" xfId="1" applyFill="1" applyBorder="1" applyAlignment="1">
      <alignment horizontal="center"/>
    </xf>
    <xf numFmtId="0" fontId="12" fillId="2" borderId="9" xfId="1" applyFont="1" applyFill="1" applyBorder="1" applyAlignment="1">
      <alignment horizontal="center"/>
    </xf>
    <xf numFmtId="0" fontId="12" fillId="3" borderId="9" xfId="1" applyFont="1" applyFill="1" applyBorder="1" applyAlignment="1">
      <alignment horizontal="center"/>
    </xf>
    <xf numFmtId="0" fontId="12" fillId="3" borderId="18" xfId="1" applyFont="1" applyFill="1" applyBorder="1" applyAlignment="1">
      <alignment horizontal="center"/>
    </xf>
    <xf numFmtId="0" fontId="12" fillId="2" borderId="18" xfId="1" applyFont="1" applyFill="1" applyBorder="1" applyAlignment="1">
      <alignment horizontal="center"/>
    </xf>
    <xf numFmtId="2" fontId="11" fillId="0" borderId="0" xfId="0" applyNumberFormat="1" applyFont="1" applyAlignment="1">
      <alignment horizontal="center"/>
    </xf>
    <xf numFmtId="2" fontId="11" fillId="0" borderId="0" xfId="1" applyNumberFormat="1" applyFont="1" applyAlignment="1">
      <alignment horizontal="center"/>
    </xf>
    <xf numFmtId="2" fontId="11" fillId="0" borderId="9" xfId="0" applyNumberFormat="1" applyFont="1" applyBorder="1" applyAlignment="1">
      <alignment horizontal="center"/>
    </xf>
    <xf numFmtId="2" fontId="11" fillId="0" borderId="9" xfId="1" applyNumberFormat="1" applyFont="1" applyBorder="1" applyAlignment="1">
      <alignment horizontal="center"/>
    </xf>
    <xf numFmtId="2" fontId="1" fillId="0" borderId="18" xfId="1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2" fontId="14" fillId="0" borderId="0" xfId="0" applyNumberFormat="1" applyFont="1" applyAlignment="1">
      <alignment horizontal="center"/>
    </xf>
    <xf numFmtId="0" fontId="4" fillId="0" borderId="0" xfId="0" applyFont="1" applyAlignment="1">
      <alignment horizontal="left"/>
    </xf>
    <xf numFmtId="2" fontId="1" fillId="0" borderId="0" xfId="1" applyNumberFormat="1"/>
    <xf numFmtId="2" fontId="2" fillId="0" borderId="0" xfId="1" applyNumberFormat="1" applyFont="1"/>
    <xf numFmtId="2" fontId="7" fillId="0" borderId="17" xfId="1" applyNumberFormat="1" applyFont="1" applyBorder="1" applyAlignment="1">
      <alignment horizontal="center" vertical="center" wrapText="1"/>
    </xf>
    <xf numFmtId="2" fontId="7" fillId="0" borderId="16" xfId="1" applyNumberFormat="1" applyFont="1" applyBorder="1" applyAlignment="1">
      <alignment horizontal="center" vertical="center" wrapText="1"/>
    </xf>
    <xf numFmtId="2" fontId="7" fillId="0" borderId="15" xfId="1" applyNumberFormat="1" applyFont="1" applyBorder="1" applyAlignment="1">
      <alignment horizontal="center" vertical="center" wrapText="1"/>
    </xf>
    <xf numFmtId="2" fontId="7" fillId="0" borderId="14" xfId="1" applyNumberFormat="1" applyFont="1" applyBorder="1" applyAlignment="1">
      <alignment horizontal="center" vertical="center" wrapText="1"/>
    </xf>
    <xf numFmtId="2" fontId="7" fillId="0" borderId="13" xfId="1" applyNumberFormat="1" applyFont="1" applyBorder="1" applyAlignment="1">
      <alignment horizontal="center" vertical="center" wrapText="1"/>
    </xf>
    <xf numFmtId="2" fontId="9" fillId="0" borderId="0" xfId="1" applyNumberFormat="1" applyFont="1" applyAlignment="1">
      <alignment horizontal="center" vertical="center" wrapText="1"/>
    </xf>
    <xf numFmtId="2" fontId="1" fillId="0" borderId="21" xfId="1" applyNumberFormat="1" applyBorder="1" applyAlignment="1">
      <alignment horizontal="center"/>
    </xf>
    <xf numFmtId="2" fontId="1" fillId="0" borderId="12" xfId="1" applyNumberFormat="1" applyBorder="1" applyAlignment="1">
      <alignment horizontal="center"/>
    </xf>
    <xf numFmtId="2" fontId="1" fillId="0" borderId="11" xfId="1" applyNumberFormat="1" applyBorder="1" applyAlignment="1">
      <alignment horizontal="center"/>
    </xf>
    <xf numFmtId="2" fontId="1" fillId="0" borderId="7" xfId="1" applyNumberFormat="1" applyBorder="1" applyAlignment="1">
      <alignment horizontal="center"/>
    </xf>
    <xf numFmtId="2" fontId="1" fillId="0" borderId="6" xfId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4" xfId="0" applyNumberFormat="1" applyFont="1" applyBorder="1" applyAlignment="1">
      <alignment horizontal="center"/>
    </xf>
    <xf numFmtId="2" fontId="1" fillId="0" borderId="3" xfId="0" applyNumberFormat="1" applyFont="1" applyBorder="1" applyAlignment="1">
      <alignment horizontal="center"/>
    </xf>
    <xf numFmtId="2" fontId="1" fillId="0" borderId="5" xfId="0" applyNumberFormat="1" applyFont="1" applyBorder="1" applyAlignment="1">
      <alignment horizontal="center"/>
    </xf>
    <xf numFmtId="2" fontId="1" fillId="0" borderId="2" xfId="0" applyNumberFormat="1" applyFon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2" fontId="1" fillId="0" borderId="20" xfId="1" applyNumberFormat="1" applyBorder="1" applyAlignment="1">
      <alignment horizontal="center"/>
    </xf>
    <xf numFmtId="2" fontId="7" fillId="0" borderId="22" xfId="1" applyNumberFormat="1" applyFont="1" applyBorder="1" applyAlignment="1">
      <alignment horizontal="center" vertical="center" wrapText="1"/>
    </xf>
    <xf numFmtId="2" fontId="1" fillId="0" borderId="23" xfId="1" applyNumberFormat="1" applyBorder="1" applyAlignment="1">
      <alignment horizontal="center"/>
    </xf>
    <xf numFmtId="2" fontId="10" fillId="0" borderId="18" xfId="1" applyNumberFormat="1" applyFont="1" applyBorder="1" applyAlignment="1">
      <alignment horizontal="center"/>
    </xf>
    <xf numFmtId="2" fontId="10" fillId="0" borderId="9" xfId="1" applyNumberFormat="1" applyFont="1" applyBorder="1" applyAlignment="1">
      <alignment horizontal="center"/>
    </xf>
    <xf numFmtId="0" fontId="10" fillId="0" borderId="9" xfId="1" applyFont="1" applyBorder="1" applyAlignment="1">
      <alignment horizontal="center"/>
    </xf>
    <xf numFmtId="0" fontId="10" fillId="0" borderId="18" xfId="1" applyFont="1" applyBorder="1" applyAlignment="1">
      <alignment horizontal="center"/>
    </xf>
    <xf numFmtId="0" fontId="15" fillId="2" borderId="9" xfId="1" applyFont="1" applyFill="1" applyBorder="1" applyAlignment="1">
      <alignment horizontal="center"/>
    </xf>
    <xf numFmtId="2" fontId="16" fillId="2" borderId="9" xfId="1" applyNumberFormat="1" applyFont="1" applyFill="1" applyBorder="1" applyAlignment="1">
      <alignment horizontal="center"/>
    </xf>
    <xf numFmtId="2" fontId="15" fillId="2" borderId="18" xfId="1" applyNumberFormat="1" applyFont="1" applyFill="1" applyBorder="1" applyAlignment="1">
      <alignment horizontal="center"/>
    </xf>
    <xf numFmtId="2" fontId="16" fillId="2" borderId="9" xfId="0" applyNumberFormat="1" applyFont="1" applyFill="1" applyBorder="1" applyAlignment="1">
      <alignment horizontal="center"/>
    </xf>
    <xf numFmtId="0" fontId="15" fillId="2" borderId="18" xfId="1" applyFont="1" applyFill="1" applyBorder="1" applyAlignment="1">
      <alignment horizontal="center"/>
    </xf>
    <xf numFmtId="0" fontId="10" fillId="0" borderId="0" xfId="1" applyFont="1" applyAlignment="1">
      <alignment horizontal="center"/>
    </xf>
    <xf numFmtId="2" fontId="10" fillId="0" borderId="0" xfId="1" applyNumberFormat="1" applyFont="1" applyAlignment="1">
      <alignment horizontal="center"/>
    </xf>
    <xf numFmtId="0" fontId="15" fillId="2" borderId="0" xfId="1" applyFont="1" applyFill="1" applyAlignment="1">
      <alignment horizontal="center"/>
    </xf>
    <xf numFmtId="2" fontId="15" fillId="2" borderId="0" xfId="1" applyNumberFormat="1" applyFont="1" applyFill="1" applyAlignment="1">
      <alignment horizontal="center"/>
    </xf>
    <xf numFmtId="0" fontId="12" fillId="2" borderId="0" xfId="1" applyFont="1" applyFill="1" applyAlignment="1">
      <alignment horizontal="center"/>
    </xf>
    <xf numFmtId="2" fontId="15" fillId="2" borderId="9" xfId="1" applyNumberFormat="1" applyFont="1" applyFill="1" applyBorder="1" applyAlignment="1">
      <alignment horizontal="center"/>
    </xf>
    <xf numFmtId="2" fontId="16" fillId="2" borderId="0" xfId="1" applyNumberFormat="1" applyFont="1" applyFill="1" applyAlignment="1">
      <alignment horizontal="center"/>
    </xf>
    <xf numFmtId="2" fontId="16" fillId="2" borderId="0" xfId="0" applyNumberFormat="1" applyFont="1" applyFill="1" applyAlignment="1">
      <alignment horizontal="center"/>
    </xf>
    <xf numFmtId="2" fontId="13" fillId="2" borderId="0" xfId="0" applyNumberFormat="1" applyFont="1" applyFill="1" applyAlignment="1">
      <alignment horizontal="center"/>
    </xf>
    <xf numFmtId="2" fontId="5" fillId="0" borderId="20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2" fontId="1" fillId="4" borderId="0" xfId="1" applyNumberFormat="1" applyFill="1"/>
    <xf numFmtId="0" fontId="2" fillId="0" borderId="9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20" xfId="0" applyFont="1" applyBorder="1" applyAlignment="1">
      <alignment horizontal="center"/>
    </xf>
  </cellXfs>
  <cellStyles count="2">
    <cellStyle name="Normal" xfId="0" builtinId="0"/>
    <cellStyle name="Normal 2" xfId="1" xr:uid="{74C11357-76B3-4947-885F-93865FBE1926}"/>
  </cellStyles>
  <dxfs count="77"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0"/>
        <color auto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</dxf>
    <dxf>
      <border outline="0"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</dxfs>
  <tableStyles count="0" defaultTableStyle="TableStyleMedium2" defaultPivotStyle="PivotStyleLight16"/>
  <colors>
    <mruColors>
      <color rgb="FF0432FF"/>
      <color rgb="FF0B5D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3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chartsheet" Target="chartsheets/sheet2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chartsheet" Target="chart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microsoft.com/office/2006/relationships/vbaProject" Target="vbaProject.bin"/><Relationship Id="rId10" Type="http://schemas.openxmlformats.org/officeDocument/2006/relationships/chartsheet" Target="chartsheets/sheet5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4.xml"/><Relationship Id="rId14" Type="http://schemas.openxmlformats.org/officeDocument/2006/relationships/styles" Target="styles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Planned 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'LCa-3159 '!$A$2:$A$363</c:f>
              <c:numCache>
                <c:formatCode>0.00</c:formatCode>
                <c:ptCount val="362"/>
                <c:pt idx="0">
                  <c:v>0</c:v>
                </c:pt>
                <c:pt idx="1">
                  <c:v>26</c:v>
                </c:pt>
                <c:pt idx="2">
                  <c:v>53.67</c:v>
                </c:pt>
                <c:pt idx="3">
                  <c:v>81.48</c:v>
                </c:pt>
                <c:pt idx="4">
                  <c:v>106.59</c:v>
                </c:pt>
                <c:pt idx="5">
                  <c:v>134.29</c:v>
                </c:pt>
                <c:pt idx="6">
                  <c:v>164.3</c:v>
                </c:pt>
                <c:pt idx="7">
                  <c:v>193.46</c:v>
                </c:pt>
                <c:pt idx="8">
                  <c:v>222.05</c:v>
                </c:pt>
                <c:pt idx="9">
                  <c:v>251.88</c:v>
                </c:pt>
                <c:pt idx="10">
                  <c:v>281.25</c:v>
                </c:pt>
                <c:pt idx="11">
                  <c:v>309.92</c:v>
                </c:pt>
                <c:pt idx="12">
                  <c:v>339.48</c:v>
                </c:pt>
                <c:pt idx="13">
                  <c:v>368.47</c:v>
                </c:pt>
                <c:pt idx="14">
                  <c:v>398.05</c:v>
                </c:pt>
                <c:pt idx="15">
                  <c:v>427.65</c:v>
                </c:pt>
                <c:pt idx="16">
                  <c:v>457.21</c:v>
                </c:pt>
                <c:pt idx="17">
                  <c:v>486.77</c:v>
                </c:pt>
                <c:pt idx="18">
                  <c:v>516.37</c:v>
                </c:pt>
                <c:pt idx="19">
                  <c:v>545.29999999999995</c:v>
                </c:pt>
                <c:pt idx="20">
                  <c:v>574.98</c:v>
                </c:pt>
                <c:pt idx="21">
                  <c:v>604.65</c:v>
                </c:pt>
                <c:pt idx="22">
                  <c:v>634</c:v>
                </c:pt>
                <c:pt idx="23">
                  <c:v>663.09</c:v>
                </c:pt>
                <c:pt idx="24">
                  <c:v>692.15</c:v>
                </c:pt>
                <c:pt idx="25">
                  <c:v>720.93</c:v>
                </c:pt>
                <c:pt idx="26">
                  <c:v>742.79</c:v>
                </c:pt>
                <c:pt idx="27">
                  <c:v>773.92</c:v>
                </c:pt>
                <c:pt idx="28">
                  <c:v>802.87</c:v>
                </c:pt>
                <c:pt idx="29">
                  <c:v>832.04</c:v>
                </c:pt>
                <c:pt idx="30">
                  <c:v>861.02</c:v>
                </c:pt>
                <c:pt idx="31">
                  <c:v>889.93</c:v>
                </c:pt>
                <c:pt idx="32">
                  <c:v>918.8</c:v>
                </c:pt>
                <c:pt idx="33">
                  <c:v>947.97</c:v>
                </c:pt>
                <c:pt idx="34">
                  <c:v>977.14</c:v>
                </c:pt>
                <c:pt idx="35">
                  <c:v>1006.39</c:v>
                </c:pt>
                <c:pt idx="36">
                  <c:v>1035.49</c:v>
                </c:pt>
                <c:pt idx="37">
                  <c:v>1064.6300000000001</c:v>
                </c:pt>
                <c:pt idx="38">
                  <c:v>1093.1300000000001</c:v>
                </c:pt>
                <c:pt idx="39">
                  <c:v>1122.24</c:v>
                </c:pt>
                <c:pt idx="40">
                  <c:v>1151.47</c:v>
                </c:pt>
                <c:pt idx="41">
                  <c:v>1179.9100000000001</c:v>
                </c:pt>
                <c:pt idx="42">
                  <c:v>1208.47</c:v>
                </c:pt>
                <c:pt idx="43">
                  <c:v>1237.04</c:v>
                </c:pt>
                <c:pt idx="44">
                  <c:v>1265.5899999999999</c:v>
                </c:pt>
                <c:pt idx="45">
                  <c:v>1294.4100000000001</c:v>
                </c:pt>
                <c:pt idx="46">
                  <c:v>1323.3</c:v>
                </c:pt>
                <c:pt idx="47">
                  <c:v>1352.3</c:v>
                </c:pt>
                <c:pt idx="48">
                  <c:v>1383.17</c:v>
                </c:pt>
                <c:pt idx="49">
                  <c:v>1411.42</c:v>
                </c:pt>
                <c:pt idx="50">
                  <c:v>1440.24</c:v>
                </c:pt>
                <c:pt idx="51">
                  <c:v>1469.04</c:v>
                </c:pt>
                <c:pt idx="52">
                  <c:v>1498.03</c:v>
                </c:pt>
                <c:pt idx="53">
                  <c:v>1526.89</c:v>
                </c:pt>
                <c:pt idx="54">
                  <c:v>1555.84</c:v>
                </c:pt>
                <c:pt idx="55">
                  <c:v>1584.66</c:v>
                </c:pt>
                <c:pt idx="56">
                  <c:v>1613.51</c:v>
                </c:pt>
                <c:pt idx="57">
                  <c:v>1642.6</c:v>
                </c:pt>
                <c:pt idx="58">
                  <c:v>1671.77</c:v>
                </c:pt>
                <c:pt idx="59">
                  <c:v>1701.09</c:v>
                </c:pt>
                <c:pt idx="60">
                  <c:v>1729.79</c:v>
                </c:pt>
                <c:pt idx="61">
                  <c:v>1758.54</c:v>
                </c:pt>
                <c:pt idx="62">
                  <c:v>1787.03</c:v>
                </c:pt>
                <c:pt idx="63">
                  <c:v>1815.88</c:v>
                </c:pt>
                <c:pt idx="64">
                  <c:v>1835.01</c:v>
                </c:pt>
                <c:pt idx="65">
                  <c:v>1868.38</c:v>
                </c:pt>
                <c:pt idx="66">
                  <c:v>1897.7</c:v>
                </c:pt>
                <c:pt idx="67">
                  <c:v>1926.63</c:v>
                </c:pt>
                <c:pt idx="68">
                  <c:v>1955.63</c:v>
                </c:pt>
                <c:pt idx="69">
                  <c:v>1984.47</c:v>
                </c:pt>
                <c:pt idx="70">
                  <c:v>2013.42</c:v>
                </c:pt>
                <c:pt idx="71">
                  <c:v>2042.48</c:v>
                </c:pt>
                <c:pt idx="72">
                  <c:v>2071.31</c:v>
                </c:pt>
                <c:pt idx="73">
                  <c:v>2100.0300000000002</c:v>
                </c:pt>
                <c:pt idx="74">
                  <c:v>2128.85</c:v>
                </c:pt>
                <c:pt idx="75">
                  <c:v>2157.63</c:v>
                </c:pt>
                <c:pt idx="76">
                  <c:v>2181</c:v>
                </c:pt>
                <c:pt idx="77">
                  <c:v>2186.54</c:v>
                </c:pt>
                <c:pt idx="78">
                  <c:v>2215.5</c:v>
                </c:pt>
                <c:pt idx="79">
                  <c:v>2244.48</c:v>
                </c:pt>
                <c:pt idx="80">
                  <c:v>2273.52</c:v>
                </c:pt>
                <c:pt idx="81">
                  <c:v>2302.4299999999998</c:v>
                </c:pt>
                <c:pt idx="82">
                  <c:v>2331.5700000000002</c:v>
                </c:pt>
                <c:pt idx="83">
                  <c:v>2360.35</c:v>
                </c:pt>
                <c:pt idx="84">
                  <c:v>2389.44</c:v>
                </c:pt>
                <c:pt idx="85">
                  <c:v>2418.44</c:v>
                </c:pt>
                <c:pt idx="86">
                  <c:v>2447.41</c:v>
                </c:pt>
                <c:pt idx="87">
                  <c:v>2474</c:v>
                </c:pt>
                <c:pt idx="88">
                  <c:v>2476.48</c:v>
                </c:pt>
                <c:pt idx="89">
                  <c:v>2505.44</c:v>
                </c:pt>
                <c:pt idx="90">
                  <c:v>2534.2800000000002</c:v>
                </c:pt>
                <c:pt idx="91">
                  <c:v>2563.2199999999998</c:v>
                </c:pt>
                <c:pt idx="92">
                  <c:v>2592.0500000000002</c:v>
                </c:pt>
                <c:pt idx="93">
                  <c:v>2620.88</c:v>
                </c:pt>
                <c:pt idx="94">
                  <c:v>2649.93</c:v>
                </c:pt>
                <c:pt idx="95">
                  <c:v>2678.54</c:v>
                </c:pt>
                <c:pt idx="96">
                  <c:v>2707.43</c:v>
                </c:pt>
                <c:pt idx="97">
                  <c:v>2736.05</c:v>
                </c:pt>
                <c:pt idx="98">
                  <c:v>2764.93</c:v>
                </c:pt>
                <c:pt idx="99">
                  <c:v>2793.86</c:v>
                </c:pt>
                <c:pt idx="100">
                  <c:v>2822.8</c:v>
                </c:pt>
                <c:pt idx="101">
                  <c:v>2851.69</c:v>
                </c:pt>
                <c:pt idx="102">
                  <c:v>2880.74</c:v>
                </c:pt>
                <c:pt idx="103">
                  <c:v>2885.2</c:v>
                </c:pt>
                <c:pt idx="104">
                  <c:v>2897.7</c:v>
                </c:pt>
                <c:pt idx="105">
                  <c:v>2909.88</c:v>
                </c:pt>
                <c:pt idx="106" formatCode="General">
                  <c:v>2910.2</c:v>
                </c:pt>
                <c:pt idx="107" formatCode="General">
                  <c:v>2922.7</c:v>
                </c:pt>
                <c:pt idx="108">
                  <c:v>2927.2</c:v>
                </c:pt>
                <c:pt idx="109" formatCode="General">
                  <c:v>2935.2</c:v>
                </c:pt>
                <c:pt idx="110">
                  <c:v>2939.01</c:v>
                </c:pt>
                <c:pt idx="111" formatCode="General">
                  <c:v>2947.7</c:v>
                </c:pt>
                <c:pt idx="112" formatCode="General">
                  <c:v>2960.2</c:v>
                </c:pt>
                <c:pt idx="113">
                  <c:v>2968.16</c:v>
                </c:pt>
                <c:pt idx="114">
                  <c:v>2972.7</c:v>
                </c:pt>
                <c:pt idx="115" formatCode="General">
                  <c:v>2985.2</c:v>
                </c:pt>
                <c:pt idx="116">
                  <c:v>2997.28</c:v>
                </c:pt>
                <c:pt idx="117" formatCode="General">
                  <c:v>2997.7</c:v>
                </c:pt>
                <c:pt idx="118" formatCode="General">
                  <c:v>3010.2</c:v>
                </c:pt>
                <c:pt idx="119">
                  <c:v>3022.7</c:v>
                </c:pt>
                <c:pt idx="120">
                  <c:v>3026.48</c:v>
                </c:pt>
                <c:pt idx="121" formatCode="General">
                  <c:v>3027.7</c:v>
                </c:pt>
                <c:pt idx="122">
                  <c:v>3055.7</c:v>
                </c:pt>
                <c:pt idx="123">
                  <c:v>3084.97</c:v>
                </c:pt>
                <c:pt idx="124">
                  <c:v>3107.03</c:v>
                </c:pt>
                <c:pt idx="125">
                  <c:v>3126.76</c:v>
                </c:pt>
                <c:pt idx="126">
                  <c:v>3154.93</c:v>
                </c:pt>
                <c:pt idx="127">
                  <c:v>3184.21</c:v>
                </c:pt>
                <c:pt idx="128" formatCode="General">
                  <c:v>3205</c:v>
                </c:pt>
                <c:pt idx="129" formatCode="General">
                  <c:v>3212.5</c:v>
                </c:pt>
                <c:pt idx="130">
                  <c:v>3213.31</c:v>
                </c:pt>
                <c:pt idx="131">
                  <c:v>3225</c:v>
                </c:pt>
                <c:pt idx="132" formatCode="General">
                  <c:v>3237.5</c:v>
                </c:pt>
                <c:pt idx="133">
                  <c:v>3242.25</c:v>
                </c:pt>
                <c:pt idx="134" formatCode="General">
                  <c:v>3250</c:v>
                </c:pt>
                <c:pt idx="135" formatCode="General">
                  <c:v>3262.5</c:v>
                </c:pt>
                <c:pt idx="136">
                  <c:v>3271.08</c:v>
                </c:pt>
                <c:pt idx="137">
                  <c:v>3275</c:v>
                </c:pt>
                <c:pt idx="138" formatCode="General">
                  <c:v>3287.5</c:v>
                </c:pt>
                <c:pt idx="139" formatCode="General">
                  <c:v>3300</c:v>
                </c:pt>
                <c:pt idx="140">
                  <c:v>3300.2</c:v>
                </c:pt>
                <c:pt idx="141" formatCode="General">
                  <c:v>3305</c:v>
                </c:pt>
                <c:pt idx="142">
                  <c:v>3312.5</c:v>
                </c:pt>
                <c:pt idx="143" formatCode="General">
                  <c:v>3325</c:v>
                </c:pt>
                <c:pt idx="144">
                  <c:v>3329.22</c:v>
                </c:pt>
                <c:pt idx="145" formatCode="General">
                  <c:v>3337.5</c:v>
                </c:pt>
                <c:pt idx="146" formatCode="General">
                  <c:v>3350</c:v>
                </c:pt>
                <c:pt idx="147">
                  <c:v>3358.12</c:v>
                </c:pt>
                <c:pt idx="148">
                  <c:v>3362.5</c:v>
                </c:pt>
                <c:pt idx="149" formatCode="General">
                  <c:v>3375</c:v>
                </c:pt>
                <c:pt idx="150">
                  <c:v>3387.09</c:v>
                </c:pt>
                <c:pt idx="151" formatCode="General">
                  <c:v>3387.5</c:v>
                </c:pt>
                <c:pt idx="152">
                  <c:v>3400</c:v>
                </c:pt>
                <c:pt idx="153" formatCode="General">
                  <c:v>3405</c:v>
                </c:pt>
                <c:pt idx="154">
                  <c:v>3416.2</c:v>
                </c:pt>
                <c:pt idx="155">
                  <c:v>3444.81</c:v>
                </c:pt>
                <c:pt idx="156" formatCode="General">
                  <c:v>3459</c:v>
                </c:pt>
                <c:pt idx="157">
                  <c:v>3466.5</c:v>
                </c:pt>
                <c:pt idx="158">
                  <c:v>3474.08</c:v>
                </c:pt>
                <c:pt idx="159">
                  <c:v>3479</c:v>
                </c:pt>
                <c:pt idx="160">
                  <c:v>3491.5</c:v>
                </c:pt>
                <c:pt idx="161">
                  <c:v>3503.02</c:v>
                </c:pt>
                <c:pt idx="162" formatCode="General">
                  <c:v>3504</c:v>
                </c:pt>
                <c:pt idx="163" formatCode="General">
                  <c:v>3516.5</c:v>
                </c:pt>
                <c:pt idx="164">
                  <c:v>3529</c:v>
                </c:pt>
                <c:pt idx="165">
                  <c:v>3532.14</c:v>
                </c:pt>
                <c:pt idx="166" formatCode="General">
                  <c:v>3541.5</c:v>
                </c:pt>
                <c:pt idx="167" formatCode="General">
                  <c:v>3554</c:v>
                </c:pt>
                <c:pt idx="168">
                  <c:v>3559</c:v>
                </c:pt>
                <c:pt idx="169">
                  <c:v>3561.06</c:v>
                </c:pt>
                <c:pt idx="170" formatCode="General">
                  <c:v>3566.5</c:v>
                </c:pt>
                <c:pt idx="171" formatCode="General">
                  <c:v>3579</c:v>
                </c:pt>
                <c:pt idx="172">
                  <c:v>3590.09</c:v>
                </c:pt>
                <c:pt idx="173" formatCode="General">
                  <c:v>3591.5</c:v>
                </c:pt>
                <c:pt idx="174">
                  <c:v>3604</c:v>
                </c:pt>
                <c:pt idx="175" formatCode="General">
                  <c:v>3616.5</c:v>
                </c:pt>
                <c:pt idx="176">
                  <c:v>3619.2</c:v>
                </c:pt>
                <c:pt idx="177" formatCode="General">
                  <c:v>3629</c:v>
                </c:pt>
                <c:pt idx="178" formatCode="General">
                  <c:v>3641.5</c:v>
                </c:pt>
                <c:pt idx="179">
                  <c:v>3648.08</c:v>
                </c:pt>
                <c:pt idx="180">
                  <c:v>3654</c:v>
                </c:pt>
                <c:pt idx="181" formatCode="General">
                  <c:v>3659</c:v>
                </c:pt>
                <c:pt idx="182" formatCode="General">
                  <c:v>3666.5</c:v>
                </c:pt>
                <c:pt idx="183">
                  <c:v>3677.05</c:v>
                </c:pt>
                <c:pt idx="184">
                  <c:v>3679</c:v>
                </c:pt>
                <c:pt idx="185" formatCode="General">
                  <c:v>3691.5</c:v>
                </c:pt>
                <c:pt idx="186" formatCode="General">
                  <c:v>3704</c:v>
                </c:pt>
                <c:pt idx="187">
                  <c:v>3706.03</c:v>
                </c:pt>
                <c:pt idx="188" formatCode="General">
                  <c:v>3709</c:v>
                </c:pt>
                <c:pt idx="189">
                  <c:v>3728.95</c:v>
                </c:pt>
                <c:pt idx="190">
                  <c:v>3758.4</c:v>
                </c:pt>
                <c:pt idx="191">
                  <c:v>3787.61</c:v>
                </c:pt>
                <c:pt idx="192">
                  <c:v>3816.51</c:v>
                </c:pt>
                <c:pt idx="193">
                  <c:v>3845.51</c:v>
                </c:pt>
                <c:pt idx="194">
                  <c:v>3862.9</c:v>
                </c:pt>
                <c:pt idx="195" formatCode="General">
                  <c:v>3870.4</c:v>
                </c:pt>
                <c:pt idx="196">
                  <c:v>3874.44</c:v>
                </c:pt>
                <c:pt idx="197" formatCode="General">
                  <c:v>3882.9</c:v>
                </c:pt>
                <c:pt idx="198">
                  <c:v>3895.4</c:v>
                </c:pt>
                <c:pt idx="199">
                  <c:v>3903.64</c:v>
                </c:pt>
                <c:pt idx="200" formatCode="General">
                  <c:v>3907.9</c:v>
                </c:pt>
                <c:pt idx="201" formatCode="General">
                  <c:v>3912.9</c:v>
                </c:pt>
                <c:pt idx="202" formatCode="General">
                  <c:v>3920.4</c:v>
                </c:pt>
                <c:pt idx="203">
                  <c:v>3932.38</c:v>
                </c:pt>
                <c:pt idx="204">
                  <c:v>3932.9</c:v>
                </c:pt>
                <c:pt idx="205" formatCode="General">
                  <c:v>3945.4</c:v>
                </c:pt>
                <c:pt idx="206" formatCode="General">
                  <c:v>3957.9</c:v>
                </c:pt>
                <c:pt idx="207">
                  <c:v>3961.19</c:v>
                </c:pt>
                <c:pt idx="208">
                  <c:v>3962.9</c:v>
                </c:pt>
                <c:pt idx="209" formatCode="General">
                  <c:v>3970.4</c:v>
                </c:pt>
                <c:pt idx="210" formatCode="General">
                  <c:v>3982.9</c:v>
                </c:pt>
                <c:pt idx="211">
                  <c:v>3990.21</c:v>
                </c:pt>
                <c:pt idx="212" formatCode="General">
                  <c:v>3995.4</c:v>
                </c:pt>
                <c:pt idx="213">
                  <c:v>4007.9</c:v>
                </c:pt>
                <c:pt idx="214" formatCode="General">
                  <c:v>4012.9</c:v>
                </c:pt>
                <c:pt idx="215">
                  <c:v>4019.24</c:v>
                </c:pt>
                <c:pt idx="216" formatCode="General">
                  <c:v>4020.4</c:v>
                </c:pt>
                <c:pt idx="217">
                  <c:v>4032.9</c:v>
                </c:pt>
                <c:pt idx="218" formatCode="General">
                  <c:v>4045.4</c:v>
                </c:pt>
                <c:pt idx="219">
                  <c:v>4048.23</c:v>
                </c:pt>
                <c:pt idx="220" formatCode="General">
                  <c:v>4057.9</c:v>
                </c:pt>
                <c:pt idx="221" formatCode="General">
                  <c:v>4062.9</c:v>
                </c:pt>
                <c:pt idx="222">
                  <c:v>4070.4</c:v>
                </c:pt>
                <c:pt idx="223">
                  <c:v>4077.24</c:v>
                </c:pt>
                <c:pt idx="224" formatCode="General">
                  <c:v>4082.9</c:v>
                </c:pt>
                <c:pt idx="225" formatCode="General">
                  <c:v>4095.4</c:v>
                </c:pt>
                <c:pt idx="226">
                  <c:v>4106.13</c:v>
                </c:pt>
                <c:pt idx="227" formatCode="General">
                  <c:v>4107.8999999999996</c:v>
                </c:pt>
                <c:pt idx="228">
                  <c:v>4112.8999999999996</c:v>
                </c:pt>
                <c:pt idx="229">
                  <c:v>4135.3</c:v>
                </c:pt>
                <c:pt idx="230">
                  <c:v>4164.16</c:v>
                </c:pt>
                <c:pt idx="231">
                  <c:v>4193.21</c:v>
                </c:pt>
                <c:pt idx="232" formatCode="General">
                  <c:v>4208.3</c:v>
                </c:pt>
                <c:pt idx="233" formatCode="General">
                  <c:v>4215.8</c:v>
                </c:pt>
                <c:pt idx="234">
                  <c:v>4221.84</c:v>
                </c:pt>
                <c:pt idx="235">
                  <c:v>4228.3</c:v>
                </c:pt>
                <c:pt idx="236" formatCode="General">
                  <c:v>4240.8</c:v>
                </c:pt>
                <c:pt idx="237">
                  <c:v>4250.54</c:v>
                </c:pt>
                <c:pt idx="238" formatCode="General">
                  <c:v>4253.3</c:v>
                </c:pt>
                <c:pt idx="239">
                  <c:v>4265.8</c:v>
                </c:pt>
                <c:pt idx="240" formatCode="General">
                  <c:v>4278.3</c:v>
                </c:pt>
                <c:pt idx="241">
                  <c:v>4279.54</c:v>
                </c:pt>
                <c:pt idx="242" formatCode="General">
                  <c:v>4290.8</c:v>
                </c:pt>
                <c:pt idx="243" formatCode="General">
                  <c:v>4303.3</c:v>
                </c:pt>
                <c:pt idx="244">
                  <c:v>4308.3</c:v>
                </c:pt>
                <c:pt idx="245">
                  <c:v>4308.3900000000003</c:v>
                </c:pt>
                <c:pt idx="246" formatCode="General">
                  <c:v>4315.8</c:v>
                </c:pt>
                <c:pt idx="247" formatCode="General">
                  <c:v>4328.3</c:v>
                </c:pt>
                <c:pt idx="248">
                  <c:v>4337.3</c:v>
                </c:pt>
                <c:pt idx="249" formatCode="General">
                  <c:v>4340.8</c:v>
                </c:pt>
                <c:pt idx="250">
                  <c:v>4353.3</c:v>
                </c:pt>
                <c:pt idx="251" formatCode="General">
                  <c:v>4365.8</c:v>
                </c:pt>
                <c:pt idx="252">
                  <c:v>4366.2</c:v>
                </c:pt>
                <c:pt idx="253" formatCode="General">
                  <c:v>4378.3</c:v>
                </c:pt>
                <c:pt idx="254">
                  <c:v>4390.8</c:v>
                </c:pt>
                <c:pt idx="255">
                  <c:v>4395.0600000000004</c:v>
                </c:pt>
                <c:pt idx="256" formatCode="General">
                  <c:v>4403.3</c:v>
                </c:pt>
                <c:pt idx="257" formatCode="General">
                  <c:v>4408.3</c:v>
                </c:pt>
                <c:pt idx="258">
                  <c:v>4415.8</c:v>
                </c:pt>
                <c:pt idx="259">
                  <c:v>4422.55</c:v>
                </c:pt>
                <c:pt idx="260">
                  <c:v>4428.3</c:v>
                </c:pt>
                <c:pt idx="261">
                  <c:v>4440.8</c:v>
                </c:pt>
                <c:pt idx="262">
                  <c:v>4450.58</c:v>
                </c:pt>
                <c:pt idx="263">
                  <c:v>4453.3</c:v>
                </c:pt>
                <c:pt idx="264" formatCode="General">
                  <c:v>4465.8</c:v>
                </c:pt>
                <c:pt idx="265">
                  <c:v>4478.3</c:v>
                </c:pt>
                <c:pt idx="266">
                  <c:v>4479.54</c:v>
                </c:pt>
                <c:pt idx="267" formatCode="General">
                  <c:v>4490.8</c:v>
                </c:pt>
                <c:pt idx="268" formatCode="General">
                  <c:v>4503.3</c:v>
                </c:pt>
                <c:pt idx="269">
                  <c:v>4508.28</c:v>
                </c:pt>
                <c:pt idx="270">
                  <c:v>4508.3</c:v>
                </c:pt>
                <c:pt idx="271" formatCode="General">
                  <c:v>4515.8</c:v>
                </c:pt>
                <c:pt idx="272" formatCode="General">
                  <c:v>4528.3</c:v>
                </c:pt>
                <c:pt idx="273">
                  <c:v>4537.1400000000003</c:v>
                </c:pt>
                <c:pt idx="274" formatCode="General">
                  <c:v>4540.8</c:v>
                </c:pt>
                <c:pt idx="275">
                  <c:v>4553.3</c:v>
                </c:pt>
                <c:pt idx="276" formatCode="General">
                  <c:v>4565.8</c:v>
                </c:pt>
                <c:pt idx="277">
                  <c:v>4565.9399999999996</c:v>
                </c:pt>
                <c:pt idx="278" formatCode="General">
                  <c:v>4578.3</c:v>
                </c:pt>
                <c:pt idx="279">
                  <c:v>4590.8</c:v>
                </c:pt>
                <c:pt idx="280">
                  <c:v>4595.1499999999996</c:v>
                </c:pt>
                <c:pt idx="281" formatCode="General">
                  <c:v>4603.3</c:v>
                </c:pt>
                <c:pt idx="282" formatCode="General">
                  <c:v>4608.3</c:v>
                </c:pt>
                <c:pt idx="283">
                  <c:v>4624.01</c:v>
                </c:pt>
                <c:pt idx="284" formatCode="General">
                  <c:v>4624.3</c:v>
                </c:pt>
                <c:pt idx="285">
                  <c:v>4631.8</c:v>
                </c:pt>
                <c:pt idx="286" formatCode="General">
                  <c:v>4644.3</c:v>
                </c:pt>
                <c:pt idx="287">
                  <c:v>4652.8999999999996</c:v>
                </c:pt>
                <c:pt idx="288" formatCode="General">
                  <c:v>4656.8</c:v>
                </c:pt>
                <c:pt idx="289" formatCode="General">
                  <c:v>4669.3</c:v>
                </c:pt>
                <c:pt idx="290">
                  <c:v>4681.8</c:v>
                </c:pt>
                <c:pt idx="291">
                  <c:v>4681.88</c:v>
                </c:pt>
                <c:pt idx="292" formatCode="General">
                  <c:v>4694.3</c:v>
                </c:pt>
                <c:pt idx="293" formatCode="General">
                  <c:v>4706.8</c:v>
                </c:pt>
                <c:pt idx="294">
                  <c:v>4710.72</c:v>
                </c:pt>
                <c:pt idx="295">
                  <c:v>4719.3</c:v>
                </c:pt>
                <c:pt idx="296" formatCode="General">
                  <c:v>4724.3</c:v>
                </c:pt>
                <c:pt idx="297">
                  <c:v>4739.87</c:v>
                </c:pt>
                <c:pt idx="298">
                  <c:v>4768.9799999999996</c:v>
                </c:pt>
                <c:pt idx="299">
                  <c:v>4797.76</c:v>
                </c:pt>
                <c:pt idx="300">
                  <c:v>4826.84</c:v>
                </c:pt>
                <c:pt idx="301" formatCode="General">
                  <c:v>4854.8999999999996</c:v>
                </c:pt>
                <c:pt idx="302">
                  <c:v>4855.8500000000004</c:v>
                </c:pt>
                <c:pt idx="303" formatCode="General">
                  <c:v>4862.3999999999996</c:v>
                </c:pt>
                <c:pt idx="304">
                  <c:v>4874.8999999999996</c:v>
                </c:pt>
                <c:pt idx="305">
                  <c:v>4885.0200000000004</c:v>
                </c:pt>
                <c:pt idx="306" formatCode="General">
                  <c:v>4887.3999999999996</c:v>
                </c:pt>
                <c:pt idx="307" formatCode="General">
                  <c:v>4899.8999999999996</c:v>
                </c:pt>
                <c:pt idx="308">
                  <c:v>4912.3999999999996</c:v>
                </c:pt>
                <c:pt idx="309">
                  <c:v>4913.55</c:v>
                </c:pt>
                <c:pt idx="310" formatCode="General">
                  <c:v>4924.8999999999996</c:v>
                </c:pt>
                <c:pt idx="311" formatCode="General">
                  <c:v>4937.3999999999996</c:v>
                </c:pt>
                <c:pt idx="312">
                  <c:v>4942.6400000000003</c:v>
                </c:pt>
                <c:pt idx="313" formatCode="General">
                  <c:v>4949.8999999999996</c:v>
                </c:pt>
                <c:pt idx="314">
                  <c:v>4954.8999999999996</c:v>
                </c:pt>
                <c:pt idx="315">
                  <c:v>4962.3999999999996</c:v>
                </c:pt>
                <c:pt idx="316">
                  <c:v>4971.1099999999997</c:v>
                </c:pt>
                <c:pt idx="317">
                  <c:v>4974.8999999999996</c:v>
                </c:pt>
                <c:pt idx="318">
                  <c:v>4987.3999999999996</c:v>
                </c:pt>
                <c:pt idx="319">
                  <c:v>4999.8999999999996</c:v>
                </c:pt>
                <c:pt idx="320">
                  <c:v>5000.5200000000004</c:v>
                </c:pt>
                <c:pt idx="321" formatCode="General">
                  <c:v>5012.3999999999996</c:v>
                </c:pt>
                <c:pt idx="322" formatCode="General">
                  <c:v>5024.8999999999996</c:v>
                </c:pt>
                <c:pt idx="323">
                  <c:v>5029.5200000000004</c:v>
                </c:pt>
                <c:pt idx="324">
                  <c:v>5037.3999999999996</c:v>
                </c:pt>
                <c:pt idx="325" formatCode="General">
                  <c:v>5049.8999999999996</c:v>
                </c:pt>
                <c:pt idx="326" formatCode="General">
                  <c:v>5054.8999999999996</c:v>
                </c:pt>
                <c:pt idx="327">
                  <c:v>5057.6499999999996</c:v>
                </c:pt>
                <c:pt idx="328" formatCode="General">
                  <c:v>5062.3999999999996</c:v>
                </c:pt>
                <c:pt idx="329">
                  <c:v>5074.8999999999996</c:v>
                </c:pt>
                <c:pt idx="330">
                  <c:v>5085.29</c:v>
                </c:pt>
                <c:pt idx="331" formatCode="General">
                  <c:v>5087.3999999999996</c:v>
                </c:pt>
                <c:pt idx="332" formatCode="General">
                  <c:v>5099.8999999999996</c:v>
                </c:pt>
                <c:pt idx="333" formatCode="General">
                  <c:v>5104.8999999999996</c:v>
                </c:pt>
                <c:pt idx="334">
                  <c:v>5114.55</c:v>
                </c:pt>
                <c:pt idx="335">
                  <c:v>5143.82</c:v>
                </c:pt>
                <c:pt idx="336">
                  <c:v>5172.68</c:v>
                </c:pt>
                <c:pt idx="337">
                  <c:v>5201.7</c:v>
                </c:pt>
                <c:pt idx="338">
                  <c:v>5230.72</c:v>
                </c:pt>
                <c:pt idx="339">
                  <c:v>5241.3</c:v>
                </c:pt>
                <c:pt idx="340" formatCode="General">
                  <c:v>5248.8</c:v>
                </c:pt>
                <c:pt idx="341">
                  <c:v>5259.84</c:v>
                </c:pt>
                <c:pt idx="342" formatCode="General">
                  <c:v>5261.3</c:v>
                </c:pt>
                <c:pt idx="343">
                  <c:v>5273.8</c:v>
                </c:pt>
                <c:pt idx="344" formatCode="General">
                  <c:v>5286.3</c:v>
                </c:pt>
                <c:pt idx="345">
                  <c:v>5289.38</c:v>
                </c:pt>
                <c:pt idx="346">
                  <c:v>5291.3</c:v>
                </c:pt>
                <c:pt idx="347">
                  <c:v>5311.3</c:v>
                </c:pt>
                <c:pt idx="348" formatCode="General">
                  <c:v>5318.8</c:v>
                </c:pt>
                <c:pt idx="349">
                  <c:v>5318.84</c:v>
                </c:pt>
                <c:pt idx="350">
                  <c:v>5331.3</c:v>
                </c:pt>
                <c:pt idx="351" formatCode="General">
                  <c:v>5343.8</c:v>
                </c:pt>
                <c:pt idx="352">
                  <c:v>5348.37</c:v>
                </c:pt>
                <c:pt idx="353">
                  <c:v>5356.3</c:v>
                </c:pt>
                <c:pt idx="354">
                  <c:v>5377.69</c:v>
                </c:pt>
                <c:pt idx="355">
                  <c:v>5406.98</c:v>
                </c:pt>
                <c:pt idx="356">
                  <c:v>5428</c:v>
                </c:pt>
                <c:pt idx="357">
                  <c:v>5436.05</c:v>
                </c:pt>
                <c:pt idx="358">
                  <c:v>5438.8</c:v>
                </c:pt>
                <c:pt idx="359">
                  <c:v>5465.05</c:v>
                </c:pt>
                <c:pt idx="360">
                  <c:v>5493.82</c:v>
                </c:pt>
                <c:pt idx="361">
                  <c:v>5501.88</c:v>
                </c:pt>
              </c:numCache>
            </c:numRef>
          </c:xVal>
          <c:yVal>
            <c:numRef>
              <c:f>'LCa-3159 '!$K$2:$K$366</c:f>
              <c:numCache>
                <c:formatCode>0.00</c:formatCode>
                <c:ptCount val="364"/>
                <c:pt idx="0">
                  <c:v>0</c:v>
                </c:pt>
                <c:pt idx="1">
                  <c:v>26</c:v>
                </c:pt>
                <c:pt idx="2">
                  <c:v>53.67</c:v>
                </c:pt>
                <c:pt idx="3">
                  <c:v>81.48</c:v>
                </c:pt>
                <c:pt idx="4">
                  <c:v>106.59</c:v>
                </c:pt>
                <c:pt idx="5">
                  <c:v>134.29</c:v>
                </c:pt>
                <c:pt idx="6">
                  <c:v>164.3</c:v>
                </c:pt>
                <c:pt idx="7">
                  <c:v>193.46</c:v>
                </c:pt>
                <c:pt idx="8">
                  <c:v>222.05</c:v>
                </c:pt>
                <c:pt idx="9">
                  <c:v>251.88</c:v>
                </c:pt>
                <c:pt idx="10">
                  <c:v>281.25</c:v>
                </c:pt>
                <c:pt idx="11">
                  <c:v>309.92</c:v>
                </c:pt>
                <c:pt idx="12">
                  <c:v>339.48</c:v>
                </c:pt>
                <c:pt idx="13">
                  <c:v>368.47</c:v>
                </c:pt>
                <c:pt idx="14">
                  <c:v>398.05</c:v>
                </c:pt>
                <c:pt idx="15">
                  <c:v>427.65</c:v>
                </c:pt>
                <c:pt idx="16">
                  <c:v>457.21</c:v>
                </c:pt>
                <c:pt idx="17">
                  <c:v>486.77</c:v>
                </c:pt>
                <c:pt idx="18">
                  <c:v>516.37</c:v>
                </c:pt>
                <c:pt idx="19">
                  <c:v>545.29999999999995</c:v>
                </c:pt>
                <c:pt idx="20">
                  <c:v>574.98</c:v>
                </c:pt>
                <c:pt idx="21">
                  <c:v>604.65</c:v>
                </c:pt>
                <c:pt idx="22">
                  <c:v>634</c:v>
                </c:pt>
                <c:pt idx="23">
                  <c:v>663.08</c:v>
                </c:pt>
                <c:pt idx="24">
                  <c:v>692.14</c:v>
                </c:pt>
                <c:pt idx="25">
                  <c:v>720.92</c:v>
                </c:pt>
                <c:pt idx="26">
                  <c:v>742.78</c:v>
                </c:pt>
                <c:pt idx="27">
                  <c:v>773.91</c:v>
                </c:pt>
                <c:pt idx="28">
                  <c:v>802.86</c:v>
                </c:pt>
                <c:pt idx="29">
                  <c:v>832.02</c:v>
                </c:pt>
                <c:pt idx="30">
                  <c:v>860.96</c:v>
                </c:pt>
                <c:pt idx="31">
                  <c:v>889.78</c:v>
                </c:pt>
                <c:pt idx="32">
                  <c:v>918.48</c:v>
                </c:pt>
                <c:pt idx="33">
                  <c:v>947.39</c:v>
                </c:pt>
                <c:pt idx="34">
                  <c:v>976.21</c:v>
                </c:pt>
                <c:pt idx="35">
                  <c:v>1004.96</c:v>
                </c:pt>
                <c:pt idx="36">
                  <c:v>1033.4100000000001</c:v>
                </c:pt>
                <c:pt idx="37">
                  <c:v>1061.78</c:v>
                </c:pt>
                <c:pt idx="38">
                  <c:v>1089.3800000000001</c:v>
                </c:pt>
                <c:pt idx="39">
                  <c:v>1117.3800000000001</c:v>
                </c:pt>
                <c:pt idx="40">
                  <c:v>1139.49</c:v>
                </c:pt>
                <c:pt idx="41">
                  <c:v>1165.43</c:v>
                </c:pt>
                <c:pt idx="42">
                  <c:v>1199.76</c:v>
                </c:pt>
                <c:pt idx="43">
                  <c:v>1227.06</c:v>
                </c:pt>
                <c:pt idx="44">
                  <c:v>1254.46</c:v>
                </c:pt>
                <c:pt idx="45">
                  <c:v>1282.3699999999999</c:v>
                </c:pt>
                <c:pt idx="46">
                  <c:v>1310.51</c:v>
                </c:pt>
                <c:pt idx="47">
                  <c:v>1338.8</c:v>
                </c:pt>
                <c:pt idx="48">
                  <c:v>1368.98</c:v>
                </c:pt>
                <c:pt idx="49">
                  <c:v>1396.63</c:v>
                </c:pt>
                <c:pt idx="50">
                  <c:v>1424.85</c:v>
                </c:pt>
                <c:pt idx="51">
                  <c:v>1453.05</c:v>
                </c:pt>
                <c:pt idx="52">
                  <c:v>1481.5</c:v>
                </c:pt>
                <c:pt idx="53">
                  <c:v>1509.88</c:v>
                </c:pt>
                <c:pt idx="54">
                  <c:v>1538.39</c:v>
                </c:pt>
                <c:pt idx="55">
                  <c:v>1566.82</c:v>
                </c:pt>
                <c:pt idx="56">
                  <c:v>1595.28</c:v>
                </c:pt>
                <c:pt idx="57">
                  <c:v>1624</c:v>
                </c:pt>
                <c:pt idx="58">
                  <c:v>1652.83</c:v>
                </c:pt>
                <c:pt idx="59">
                  <c:v>1681.87</c:v>
                </c:pt>
                <c:pt idx="60">
                  <c:v>1710.35</c:v>
                </c:pt>
                <c:pt idx="61">
                  <c:v>1738.94</c:v>
                </c:pt>
                <c:pt idx="62">
                  <c:v>1767.34</c:v>
                </c:pt>
                <c:pt idx="63">
                  <c:v>1796.12</c:v>
                </c:pt>
                <c:pt idx="64">
                  <c:v>1815.21</c:v>
                </c:pt>
                <c:pt idx="65">
                  <c:v>1831.17</c:v>
                </c:pt>
                <c:pt idx="66">
                  <c:v>1845.15</c:v>
                </c:pt>
                <c:pt idx="67">
                  <c:v>1871.09</c:v>
                </c:pt>
                <c:pt idx="68">
                  <c:v>1875.09</c:v>
                </c:pt>
                <c:pt idx="69">
                  <c:v>1905.04</c:v>
                </c:pt>
                <c:pt idx="70">
                  <c:v>1935.02</c:v>
                </c:pt>
                <c:pt idx="71">
                  <c:v>1965.02</c:v>
                </c:pt>
                <c:pt idx="72">
                  <c:v>1982.01</c:v>
                </c:pt>
                <c:pt idx="73">
                  <c:v>1995.02</c:v>
                </c:pt>
                <c:pt idx="74">
                  <c:v>2025.02</c:v>
                </c:pt>
                <c:pt idx="75">
                  <c:v>2055.02</c:v>
                </c:pt>
                <c:pt idx="76">
                  <c:v>2085.02</c:v>
                </c:pt>
                <c:pt idx="77">
                  <c:v>2115.02</c:v>
                </c:pt>
                <c:pt idx="78">
                  <c:v>2145.02</c:v>
                </c:pt>
                <c:pt idx="79">
                  <c:v>2155.98</c:v>
                </c:pt>
                <c:pt idx="80">
                  <c:v>2175.02</c:v>
                </c:pt>
                <c:pt idx="81">
                  <c:v>2205.02</c:v>
                </c:pt>
                <c:pt idx="82">
                  <c:v>2235.02</c:v>
                </c:pt>
                <c:pt idx="83">
                  <c:v>2265.02</c:v>
                </c:pt>
                <c:pt idx="84">
                  <c:v>2295.02</c:v>
                </c:pt>
                <c:pt idx="85">
                  <c:v>2325.02</c:v>
                </c:pt>
                <c:pt idx="86">
                  <c:v>2355.02</c:v>
                </c:pt>
                <c:pt idx="87">
                  <c:v>2385.02</c:v>
                </c:pt>
                <c:pt idx="88">
                  <c:v>2415.02</c:v>
                </c:pt>
                <c:pt idx="89">
                  <c:v>2445.02</c:v>
                </c:pt>
                <c:pt idx="90">
                  <c:v>2445.98</c:v>
                </c:pt>
                <c:pt idx="91">
                  <c:v>2475.02</c:v>
                </c:pt>
                <c:pt idx="92">
                  <c:v>2505.02</c:v>
                </c:pt>
                <c:pt idx="93">
                  <c:v>2523.65</c:v>
                </c:pt>
                <c:pt idx="94">
                  <c:v>2535.0100000000002</c:v>
                </c:pt>
                <c:pt idx="95">
                  <c:v>2564.84</c:v>
                </c:pt>
                <c:pt idx="96">
                  <c:v>2594.08</c:v>
                </c:pt>
                <c:pt idx="97">
                  <c:v>2622.36</c:v>
                </c:pt>
                <c:pt idx="98">
                  <c:v>2649.25</c:v>
                </c:pt>
                <c:pt idx="99">
                  <c:v>2674.41</c:v>
                </c:pt>
                <c:pt idx="100">
                  <c:v>2697.46</c:v>
                </c:pt>
                <c:pt idx="101">
                  <c:v>2718.11</c:v>
                </c:pt>
                <c:pt idx="102">
                  <c:v>2736.05</c:v>
                </c:pt>
                <c:pt idx="105">
                  <c:v>2751.03</c:v>
                </c:pt>
                <c:pt idx="110">
                  <c:v>2762.86</c:v>
                </c:pt>
                <c:pt idx="113">
                  <c:v>2771.37</c:v>
                </c:pt>
                <c:pt idx="116">
                  <c:v>2776.43</c:v>
                </c:pt>
                <c:pt idx="120">
                  <c:v>2777.98</c:v>
                </c:pt>
                <c:pt idx="122">
                  <c:v>2777.99</c:v>
                </c:pt>
                <c:pt idx="123">
                  <c:v>2778.06</c:v>
                </c:pt>
                <c:pt idx="124">
                  <c:v>2778.11</c:v>
                </c:pt>
                <c:pt idx="125">
                  <c:v>2778.22</c:v>
                </c:pt>
                <c:pt idx="126">
                  <c:v>2778.34</c:v>
                </c:pt>
                <c:pt idx="127">
                  <c:v>2778.46</c:v>
                </c:pt>
                <c:pt idx="130">
                  <c:v>2778.57</c:v>
                </c:pt>
                <c:pt idx="133">
                  <c:v>2778.69</c:v>
                </c:pt>
                <c:pt idx="136">
                  <c:v>2778.81</c:v>
                </c:pt>
                <c:pt idx="140">
                  <c:v>2778.92</c:v>
                </c:pt>
                <c:pt idx="144">
                  <c:v>2779.04</c:v>
                </c:pt>
                <c:pt idx="147">
                  <c:v>2779.16</c:v>
                </c:pt>
                <c:pt idx="150">
                  <c:v>2779.28</c:v>
                </c:pt>
                <c:pt idx="154">
                  <c:v>2779.39</c:v>
                </c:pt>
                <c:pt idx="155">
                  <c:v>2779.51</c:v>
                </c:pt>
                <c:pt idx="158">
                  <c:v>2779.63</c:v>
                </c:pt>
                <c:pt idx="161">
                  <c:v>2779.74</c:v>
                </c:pt>
                <c:pt idx="165">
                  <c:v>2779.86</c:v>
                </c:pt>
                <c:pt idx="169">
                  <c:v>2779.98</c:v>
                </c:pt>
                <c:pt idx="172">
                  <c:v>2780.09</c:v>
                </c:pt>
                <c:pt idx="176">
                  <c:v>2780.21</c:v>
                </c:pt>
                <c:pt idx="179">
                  <c:v>2780.33</c:v>
                </c:pt>
                <c:pt idx="183">
                  <c:v>2780.44</c:v>
                </c:pt>
                <c:pt idx="187">
                  <c:v>2780.56</c:v>
                </c:pt>
                <c:pt idx="189">
                  <c:v>2780.68</c:v>
                </c:pt>
                <c:pt idx="190">
                  <c:v>2780.79</c:v>
                </c:pt>
                <c:pt idx="191">
                  <c:v>2780.91</c:v>
                </c:pt>
                <c:pt idx="192">
                  <c:v>2781.03</c:v>
                </c:pt>
                <c:pt idx="193">
                  <c:v>2781.14</c:v>
                </c:pt>
                <c:pt idx="196">
                  <c:v>2781.26</c:v>
                </c:pt>
                <c:pt idx="199">
                  <c:v>2781.38</c:v>
                </c:pt>
                <c:pt idx="203">
                  <c:v>2781.49</c:v>
                </c:pt>
                <c:pt idx="207">
                  <c:v>2781.61</c:v>
                </c:pt>
                <c:pt idx="211">
                  <c:v>2781.73</c:v>
                </c:pt>
                <c:pt idx="215">
                  <c:v>2781.84</c:v>
                </c:pt>
                <c:pt idx="219">
                  <c:v>2781.96</c:v>
                </c:pt>
                <c:pt idx="223">
                  <c:v>2782.08</c:v>
                </c:pt>
                <c:pt idx="226">
                  <c:v>2782.19</c:v>
                </c:pt>
                <c:pt idx="229">
                  <c:v>2782.31</c:v>
                </c:pt>
                <c:pt idx="230">
                  <c:v>2782.43</c:v>
                </c:pt>
                <c:pt idx="231">
                  <c:v>2782.54</c:v>
                </c:pt>
                <c:pt idx="234">
                  <c:v>2782.66</c:v>
                </c:pt>
                <c:pt idx="237">
                  <c:v>2782.78</c:v>
                </c:pt>
                <c:pt idx="241">
                  <c:v>2782.89</c:v>
                </c:pt>
                <c:pt idx="245">
                  <c:v>2783.01</c:v>
                </c:pt>
                <c:pt idx="248">
                  <c:v>2783.13</c:v>
                </c:pt>
                <c:pt idx="252">
                  <c:v>2783.24</c:v>
                </c:pt>
                <c:pt idx="255">
                  <c:v>2783.36</c:v>
                </c:pt>
                <c:pt idx="259">
                  <c:v>2783.48</c:v>
                </c:pt>
                <c:pt idx="262">
                  <c:v>2783.59</c:v>
                </c:pt>
                <c:pt idx="266">
                  <c:v>2783.71</c:v>
                </c:pt>
                <c:pt idx="269">
                  <c:v>2783.83</c:v>
                </c:pt>
                <c:pt idx="273">
                  <c:v>2783.94</c:v>
                </c:pt>
                <c:pt idx="277">
                  <c:v>2784.06</c:v>
                </c:pt>
                <c:pt idx="280">
                  <c:v>2784.18</c:v>
                </c:pt>
                <c:pt idx="283">
                  <c:v>2784.29</c:v>
                </c:pt>
                <c:pt idx="287">
                  <c:v>2784.41</c:v>
                </c:pt>
                <c:pt idx="291">
                  <c:v>2784.53</c:v>
                </c:pt>
                <c:pt idx="294">
                  <c:v>2784.64</c:v>
                </c:pt>
                <c:pt idx="297">
                  <c:v>2784.76</c:v>
                </c:pt>
                <c:pt idx="298">
                  <c:v>2784.88</c:v>
                </c:pt>
                <c:pt idx="299">
                  <c:v>2784.99</c:v>
                </c:pt>
                <c:pt idx="300">
                  <c:v>2785.11</c:v>
                </c:pt>
                <c:pt idx="302">
                  <c:v>2785.23</c:v>
                </c:pt>
                <c:pt idx="305">
                  <c:v>2785.35</c:v>
                </c:pt>
                <c:pt idx="309">
                  <c:v>2785.46</c:v>
                </c:pt>
                <c:pt idx="312">
                  <c:v>2785.58</c:v>
                </c:pt>
                <c:pt idx="316">
                  <c:v>2785.7</c:v>
                </c:pt>
                <c:pt idx="320">
                  <c:v>2785.81</c:v>
                </c:pt>
                <c:pt idx="323">
                  <c:v>2785.93</c:v>
                </c:pt>
                <c:pt idx="327">
                  <c:v>2786.05</c:v>
                </c:pt>
                <c:pt idx="330">
                  <c:v>2786.16</c:v>
                </c:pt>
                <c:pt idx="334">
                  <c:v>2786.28</c:v>
                </c:pt>
                <c:pt idx="335">
                  <c:v>2786.4</c:v>
                </c:pt>
                <c:pt idx="336">
                  <c:v>2786.51</c:v>
                </c:pt>
                <c:pt idx="337">
                  <c:v>2786.63</c:v>
                </c:pt>
                <c:pt idx="338">
                  <c:v>2786.75</c:v>
                </c:pt>
                <c:pt idx="341">
                  <c:v>2786.86</c:v>
                </c:pt>
                <c:pt idx="345">
                  <c:v>2786.98</c:v>
                </c:pt>
                <c:pt idx="349">
                  <c:v>2787.1</c:v>
                </c:pt>
                <c:pt idx="352">
                  <c:v>2787.21</c:v>
                </c:pt>
                <c:pt idx="354">
                  <c:v>2787.33</c:v>
                </c:pt>
                <c:pt idx="355">
                  <c:v>2787.45</c:v>
                </c:pt>
                <c:pt idx="357">
                  <c:v>2787.56</c:v>
                </c:pt>
                <c:pt idx="359">
                  <c:v>2787.68</c:v>
                </c:pt>
                <c:pt idx="360">
                  <c:v>2787.8</c:v>
                </c:pt>
                <c:pt idx="361">
                  <c:v>2787.91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2A-C74C-BB14-AE9D08CFA696}"/>
            </c:ext>
          </c:extLst>
        </c:ser>
        <c:ser>
          <c:idx val="1"/>
          <c:order val="1"/>
          <c:tx>
            <c:v>Actual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'LCa-3159 '!$A$2:$A$363</c:f>
              <c:numCache>
                <c:formatCode>0.00</c:formatCode>
                <c:ptCount val="362"/>
                <c:pt idx="0">
                  <c:v>0</c:v>
                </c:pt>
                <c:pt idx="1">
                  <c:v>26</c:v>
                </c:pt>
                <c:pt idx="2">
                  <c:v>53.67</c:v>
                </c:pt>
                <c:pt idx="3">
                  <c:v>81.48</c:v>
                </c:pt>
                <c:pt idx="4">
                  <c:v>106.59</c:v>
                </c:pt>
                <c:pt idx="5">
                  <c:v>134.29</c:v>
                </c:pt>
                <c:pt idx="6">
                  <c:v>164.3</c:v>
                </c:pt>
                <c:pt idx="7">
                  <c:v>193.46</c:v>
                </c:pt>
                <c:pt idx="8">
                  <c:v>222.05</c:v>
                </c:pt>
                <c:pt idx="9">
                  <c:v>251.88</c:v>
                </c:pt>
                <c:pt idx="10">
                  <c:v>281.25</c:v>
                </c:pt>
                <c:pt idx="11">
                  <c:v>309.92</c:v>
                </c:pt>
                <c:pt idx="12">
                  <c:v>339.48</c:v>
                </c:pt>
                <c:pt idx="13">
                  <c:v>368.47</c:v>
                </c:pt>
                <c:pt idx="14">
                  <c:v>398.05</c:v>
                </c:pt>
                <c:pt idx="15">
                  <c:v>427.65</c:v>
                </c:pt>
                <c:pt idx="16">
                  <c:v>457.21</c:v>
                </c:pt>
                <c:pt idx="17">
                  <c:v>486.77</c:v>
                </c:pt>
                <c:pt idx="18">
                  <c:v>516.37</c:v>
                </c:pt>
                <c:pt idx="19">
                  <c:v>545.29999999999995</c:v>
                </c:pt>
                <c:pt idx="20">
                  <c:v>574.98</c:v>
                </c:pt>
                <c:pt idx="21">
                  <c:v>604.65</c:v>
                </c:pt>
                <c:pt idx="22">
                  <c:v>634</c:v>
                </c:pt>
                <c:pt idx="23">
                  <c:v>663.09</c:v>
                </c:pt>
                <c:pt idx="24">
                  <c:v>692.15</c:v>
                </c:pt>
                <c:pt idx="25">
                  <c:v>720.93</c:v>
                </c:pt>
                <c:pt idx="26">
                  <c:v>742.79</c:v>
                </c:pt>
                <c:pt idx="27">
                  <c:v>773.92</c:v>
                </c:pt>
                <c:pt idx="28">
                  <c:v>802.87</c:v>
                </c:pt>
                <c:pt idx="29">
                  <c:v>832.04</c:v>
                </c:pt>
                <c:pt idx="30">
                  <c:v>861.02</c:v>
                </c:pt>
                <c:pt idx="31">
                  <c:v>889.93</c:v>
                </c:pt>
                <c:pt idx="32">
                  <c:v>918.8</c:v>
                </c:pt>
                <c:pt idx="33">
                  <c:v>947.97</c:v>
                </c:pt>
                <c:pt idx="34">
                  <c:v>977.14</c:v>
                </c:pt>
                <c:pt idx="35">
                  <c:v>1006.39</c:v>
                </c:pt>
                <c:pt idx="36">
                  <c:v>1035.49</c:v>
                </c:pt>
                <c:pt idx="37">
                  <c:v>1064.6300000000001</c:v>
                </c:pt>
                <c:pt idx="38">
                  <c:v>1093.1300000000001</c:v>
                </c:pt>
                <c:pt idx="39">
                  <c:v>1122.24</c:v>
                </c:pt>
                <c:pt idx="40">
                  <c:v>1151.47</c:v>
                </c:pt>
                <c:pt idx="41">
                  <c:v>1179.9100000000001</c:v>
                </c:pt>
                <c:pt idx="42">
                  <c:v>1208.47</c:v>
                </c:pt>
                <c:pt idx="43">
                  <c:v>1237.04</c:v>
                </c:pt>
                <c:pt idx="44">
                  <c:v>1265.5899999999999</c:v>
                </c:pt>
                <c:pt idx="45">
                  <c:v>1294.4100000000001</c:v>
                </c:pt>
                <c:pt idx="46">
                  <c:v>1323.3</c:v>
                </c:pt>
                <c:pt idx="47">
                  <c:v>1352.3</c:v>
                </c:pt>
                <c:pt idx="48">
                  <c:v>1383.17</c:v>
                </c:pt>
                <c:pt idx="49">
                  <c:v>1411.42</c:v>
                </c:pt>
                <c:pt idx="50">
                  <c:v>1440.24</c:v>
                </c:pt>
                <c:pt idx="51">
                  <c:v>1469.04</c:v>
                </c:pt>
                <c:pt idx="52">
                  <c:v>1498.03</c:v>
                </c:pt>
                <c:pt idx="53">
                  <c:v>1526.89</c:v>
                </c:pt>
                <c:pt idx="54">
                  <c:v>1555.84</c:v>
                </c:pt>
                <c:pt idx="55">
                  <c:v>1584.66</c:v>
                </c:pt>
                <c:pt idx="56">
                  <c:v>1613.51</c:v>
                </c:pt>
                <c:pt idx="57">
                  <c:v>1642.6</c:v>
                </c:pt>
                <c:pt idx="58">
                  <c:v>1671.77</c:v>
                </c:pt>
                <c:pt idx="59">
                  <c:v>1701.09</c:v>
                </c:pt>
                <c:pt idx="60">
                  <c:v>1729.79</c:v>
                </c:pt>
                <c:pt idx="61">
                  <c:v>1758.54</c:v>
                </c:pt>
                <c:pt idx="62">
                  <c:v>1787.03</c:v>
                </c:pt>
                <c:pt idx="63">
                  <c:v>1815.88</c:v>
                </c:pt>
                <c:pt idx="64">
                  <c:v>1835.01</c:v>
                </c:pt>
                <c:pt idx="65">
                  <c:v>1868.38</c:v>
                </c:pt>
                <c:pt idx="66">
                  <c:v>1897.7</c:v>
                </c:pt>
                <c:pt idx="67">
                  <c:v>1926.63</c:v>
                </c:pt>
                <c:pt idx="68">
                  <c:v>1955.63</c:v>
                </c:pt>
                <c:pt idx="69">
                  <c:v>1984.47</c:v>
                </c:pt>
                <c:pt idx="70">
                  <c:v>2013.42</c:v>
                </c:pt>
                <c:pt idx="71">
                  <c:v>2042.48</c:v>
                </c:pt>
                <c:pt idx="72">
                  <c:v>2071.31</c:v>
                </c:pt>
                <c:pt idx="73">
                  <c:v>2100.0300000000002</c:v>
                </c:pt>
                <c:pt idx="74">
                  <c:v>2128.85</c:v>
                </c:pt>
                <c:pt idx="75">
                  <c:v>2157.63</c:v>
                </c:pt>
                <c:pt idx="76">
                  <c:v>2181</c:v>
                </c:pt>
                <c:pt idx="77">
                  <c:v>2186.54</c:v>
                </c:pt>
                <c:pt idx="78">
                  <c:v>2215.5</c:v>
                </c:pt>
                <c:pt idx="79">
                  <c:v>2244.48</c:v>
                </c:pt>
                <c:pt idx="80">
                  <c:v>2273.52</c:v>
                </c:pt>
                <c:pt idx="81">
                  <c:v>2302.4299999999998</c:v>
                </c:pt>
                <c:pt idx="82">
                  <c:v>2331.5700000000002</c:v>
                </c:pt>
                <c:pt idx="83">
                  <c:v>2360.35</c:v>
                </c:pt>
                <c:pt idx="84">
                  <c:v>2389.44</c:v>
                </c:pt>
                <c:pt idx="85">
                  <c:v>2418.44</c:v>
                </c:pt>
                <c:pt idx="86">
                  <c:v>2447.41</c:v>
                </c:pt>
                <c:pt idx="87">
                  <c:v>2474</c:v>
                </c:pt>
                <c:pt idx="88">
                  <c:v>2476.48</c:v>
                </c:pt>
                <c:pt idx="89">
                  <c:v>2505.44</c:v>
                </c:pt>
                <c:pt idx="90">
                  <c:v>2534.2800000000002</c:v>
                </c:pt>
                <c:pt idx="91">
                  <c:v>2563.2199999999998</c:v>
                </c:pt>
                <c:pt idx="92">
                  <c:v>2592.0500000000002</c:v>
                </c:pt>
                <c:pt idx="93">
                  <c:v>2620.88</c:v>
                </c:pt>
                <c:pt idx="94">
                  <c:v>2649.93</c:v>
                </c:pt>
                <c:pt idx="95">
                  <c:v>2678.54</c:v>
                </c:pt>
                <c:pt idx="96">
                  <c:v>2707.43</c:v>
                </c:pt>
                <c:pt idx="97">
                  <c:v>2736.05</c:v>
                </c:pt>
                <c:pt idx="98">
                  <c:v>2764.93</c:v>
                </c:pt>
                <c:pt idx="99">
                  <c:v>2793.86</c:v>
                </c:pt>
                <c:pt idx="100">
                  <c:v>2822.8</c:v>
                </c:pt>
                <c:pt idx="101">
                  <c:v>2851.69</c:v>
                </c:pt>
                <c:pt idx="102">
                  <c:v>2880.74</c:v>
                </c:pt>
                <c:pt idx="103">
                  <c:v>2885.2</c:v>
                </c:pt>
                <c:pt idx="104">
                  <c:v>2897.7</c:v>
                </c:pt>
                <c:pt idx="105">
                  <c:v>2909.88</c:v>
                </c:pt>
                <c:pt idx="106" formatCode="General">
                  <c:v>2910.2</c:v>
                </c:pt>
                <c:pt idx="107" formatCode="General">
                  <c:v>2922.7</c:v>
                </c:pt>
                <c:pt idx="108">
                  <c:v>2927.2</c:v>
                </c:pt>
                <c:pt idx="109" formatCode="General">
                  <c:v>2935.2</c:v>
                </c:pt>
                <c:pt idx="110">
                  <c:v>2939.01</c:v>
                </c:pt>
                <c:pt idx="111" formatCode="General">
                  <c:v>2947.7</c:v>
                </c:pt>
                <c:pt idx="112" formatCode="General">
                  <c:v>2960.2</c:v>
                </c:pt>
                <c:pt idx="113">
                  <c:v>2968.16</c:v>
                </c:pt>
                <c:pt idx="114">
                  <c:v>2972.7</c:v>
                </c:pt>
                <c:pt idx="115" formatCode="General">
                  <c:v>2985.2</c:v>
                </c:pt>
                <c:pt idx="116">
                  <c:v>2997.28</c:v>
                </c:pt>
                <c:pt idx="117" formatCode="General">
                  <c:v>2997.7</c:v>
                </c:pt>
                <c:pt idx="118" formatCode="General">
                  <c:v>3010.2</c:v>
                </c:pt>
                <c:pt idx="119">
                  <c:v>3022.7</c:v>
                </c:pt>
                <c:pt idx="120">
                  <c:v>3026.48</c:v>
                </c:pt>
                <c:pt idx="121" formatCode="General">
                  <c:v>3027.7</c:v>
                </c:pt>
                <c:pt idx="122">
                  <c:v>3055.7</c:v>
                </c:pt>
                <c:pt idx="123">
                  <c:v>3084.97</c:v>
                </c:pt>
                <c:pt idx="124">
                  <c:v>3107.03</c:v>
                </c:pt>
                <c:pt idx="125">
                  <c:v>3126.76</c:v>
                </c:pt>
                <c:pt idx="126">
                  <c:v>3154.93</c:v>
                </c:pt>
                <c:pt idx="127">
                  <c:v>3184.21</c:v>
                </c:pt>
                <c:pt idx="128" formatCode="General">
                  <c:v>3205</c:v>
                </c:pt>
                <c:pt idx="129" formatCode="General">
                  <c:v>3212.5</c:v>
                </c:pt>
                <c:pt idx="130">
                  <c:v>3213.31</c:v>
                </c:pt>
                <c:pt idx="131">
                  <c:v>3225</c:v>
                </c:pt>
                <c:pt idx="132" formatCode="General">
                  <c:v>3237.5</c:v>
                </c:pt>
                <c:pt idx="133">
                  <c:v>3242.25</c:v>
                </c:pt>
                <c:pt idx="134" formatCode="General">
                  <c:v>3250</c:v>
                </c:pt>
                <c:pt idx="135" formatCode="General">
                  <c:v>3262.5</c:v>
                </c:pt>
                <c:pt idx="136">
                  <c:v>3271.08</c:v>
                </c:pt>
                <c:pt idx="137">
                  <c:v>3275</c:v>
                </c:pt>
                <c:pt idx="138" formatCode="General">
                  <c:v>3287.5</c:v>
                </c:pt>
                <c:pt idx="139" formatCode="General">
                  <c:v>3300</c:v>
                </c:pt>
                <c:pt idx="140">
                  <c:v>3300.2</c:v>
                </c:pt>
                <c:pt idx="141" formatCode="General">
                  <c:v>3305</c:v>
                </c:pt>
                <c:pt idx="142">
                  <c:v>3312.5</c:v>
                </c:pt>
                <c:pt idx="143" formatCode="General">
                  <c:v>3325</c:v>
                </c:pt>
                <c:pt idx="144">
                  <c:v>3329.22</c:v>
                </c:pt>
                <c:pt idx="145" formatCode="General">
                  <c:v>3337.5</c:v>
                </c:pt>
                <c:pt idx="146" formatCode="General">
                  <c:v>3350</c:v>
                </c:pt>
                <c:pt idx="147">
                  <c:v>3358.12</c:v>
                </c:pt>
                <c:pt idx="148">
                  <c:v>3362.5</c:v>
                </c:pt>
                <c:pt idx="149" formatCode="General">
                  <c:v>3375</c:v>
                </c:pt>
                <c:pt idx="150">
                  <c:v>3387.09</c:v>
                </c:pt>
                <c:pt idx="151" formatCode="General">
                  <c:v>3387.5</c:v>
                </c:pt>
                <c:pt idx="152">
                  <c:v>3400</c:v>
                </c:pt>
                <c:pt idx="153" formatCode="General">
                  <c:v>3405</c:v>
                </c:pt>
                <c:pt idx="154">
                  <c:v>3416.2</c:v>
                </c:pt>
                <c:pt idx="155">
                  <c:v>3444.81</c:v>
                </c:pt>
                <c:pt idx="156" formatCode="General">
                  <c:v>3459</c:v>
                </c:pt>
                <c:pt idx="157">
                  <c:v>3466.5</c:v>
                </c:pt>
                <c:pt idx="158">
                  <c:v>3474.08</c:v>
                </c:pt>
                <c:pt idx="159">
                  <c:v>3479</c:v>
                </c:pt>
                <c:pt idx="160">
                  <c:v>3491.5</c:v>
                </c:pt>
                <c:pt idx="161">
                  <c:v>3503.02</c:v>
                </c:pt>
                <c:pt idx="162" formatCode="General">
                  <c:v>3504</c:v>
                </c:pt>
                <c:pt idx="163" formatCode="General">
                  <c:v>3516.5</c:v>
                </c:pt>
                <c:pt idx="164">
                  <c:v>3529</c:v>
                </c:pt>
                <c:pt idx="165">
                  <c:v>3532.14</c:v>
                </c:pt>
                <c:pt idx="166" formatCode="General">
                  <c:v>3541.5</c:v>
                </c:pt>
                <c:pt idx="167" formatCode="General">
                  <c:v>3554</c:v>
                </c:pt>
                <c:pt idx="168">
                  <c:v>3559</c:v>
                </c:pt>
                <c:pt idx="169">
                  <c:v>3561.06</c:v>
                </c:pt>
                <c:pt idx="170" formatCode="General">
                  <c:v>3566.5</c:v>
                </c:pt>
                <c:pt idx="171" formatCode="General">
                  <c:v>3579</c:v>
                </c:pt>
                <c:pt idx="172">
                  <c:v>3590.09</c:v>
                </c:pt>
                <c:pt idx="173" formatCode="General">
                  <c:v>3591.5</c:v>
                </c:pt>
                <c:pt idx="174">
                  <c:v>3604</c:v>
                </c:pt>
                <c:pt idx="175" formatCode="General">
                  <c:v>3616.5</c:v>
                </c:pt>
                <c:pt idx="176">
                  <c:v>3619.2</c:v>
                </c:pt>
                <c:pt idx="177" formatCode="General">
                  <c:v>3629</c:v>
                </c:pt>
                <c:pt idx="178" formatCode="General">
                  <c:v>3641.5</c:v>
                </c:pt>
                <c:pt idx="179">
                  <c:v>3648.08</c:v>
                </c:pt>
                <c:pt idx="180">
                  <c:v>3654</c:v>
                </c:pt>
                <c:pt idx="181" formatCode="General">
                  <c:v>3659</c:v>
                </c:pt>
                <c:pt idx="182" formatCode="General">
                  <c:v>3666.5</c:v>
                </c:pt>
                <c:pt idx="183">
                  <c:v>3677.05</c:v>
                </c:pt>
                <c:pt idx="184">
                  <c:v>3679</c:v>
                </c:pt>
                <c:pt idx="185" formatCode="General">
                  <c:v>3691.5</c:v>
                </c:pt>
                <c:pt idx="186" formatCode="General">
                  <c:v>3704</c:v>
                </c:pt>
                <c:pt idx="187">
                  <c:v>3706.03</c:v>
                </c:pt>
                <c:pt idx="188" formatCode="General">
                  <c:v>3709</c:v>
                </c:pt>
                <c:pt idx="189">
                  <c:v>3728.95</c:v>
                </c:pt>
                <c:pt idx="190">
                  <c:v>3758.4</c:v>
                </c:pt>
                <c:pt idx="191">
                  <c:v>3787.61</c:v>
                </c:pt>
                <c:pt idx="192">
                  <c:v>3816.51</c:v>
                </c:pt>
                <c:pt idx="193">
                  <c:v>3845.51</c:v>
                </c:pt>
                <c:pt idx="194">
                  <c:v>3862.9</c:v>
                </c:pt>
                <c:pt idx="195" formatCode="General">
                  <c:v>3870.4</c:v>
                </c:pt>
                <c:pt idx="196">
                  <c:v>3874.44</c:v>
                </c:pt>
                <c:pt idx="197" formatCode="General">
                  <c:v>3882.9</c:v>
                </c:pt>
                <c:pt idx="198">
                  <c:v>3895.4</c:v>
                </c:pt>
                <c:pt idx="199">
                  <c:v>3903.64</c:v>
                </c:pt>
                <c:pt idx="200" formatCode="General">
                  <c:v>3907.9</c:v>
                </c:pt>
                <c:pt idx="201" formatCode="General">
                  <c:v>3912.9</c:v>
                </c:pt>
                <c:pt idx="202" formatCode="General">
                  <c:v>3920.4</c:v>
                </c:pt>
                <c:pt idx="203">
                  <c:v>3932.38</c:v>
                </c:pt>
                <c:pt idx="204">
                  <c:v>3932.9</c:v>
                </c:pt>
                <c:pt idx="205" formatCode="General">
                  <c:v>3945.4</c:v>
                </c:pt>
                <c:pt idx="206" formatCode="General">
                  <c:v>3957.9</c:v>
                </c:pt>
                <c:pt idx="207">
                  <c:v>3961.19</c:v>
                </c:pt>
                <c:pt idx="208">
                  <c:v>3962.9</c:v>
                </c:pt>
                <c:pt idx="209" formatCode="General">
                  <c:v>3970.4</c:v>
                </c:pt>
                <c:pt idx="210" formatCode="General">
                  <c:v>3982.9</c:v>
                </c:pt>
                <c:pt idx="211">
                  <c:v>3990.21</c:v>
                </c:pt>
                <c:pt idx="212" formatCode="General">
                  <c:v>3995.4</c:v>
                </c:pt>
                <c:pt idx="213">
                  <c:v>4007.9</c:v>
                </c:pt>
                <c:pt idx="214" formatCode="General">
                  <c:v>4012.9</c:v>
                </c:pt>
                <c:pt idx="215">
                  <c:v>4019.24</c:v>
                </c:pt>
                <c:pt idx="216" formatCode="General">
                  <c:v>4020.4</c:v>
                </c:pt>
                <c:pt idx="217">
                  <c:v>4032.9</c:v>
                </c:pt>
                <c:pt idx="218" formatCode="General">
                  <c:v>4045.4</c:v>
                </c:pt>
                <c:pt idx="219">
                  <c:v>4048.23</c:v>
                </c:pt>
                <c:pt idx="220" formatCode="General">
                  <c:v>4057.9</c:v>
                </c:pt>
                <c:pt idx="221" formatCode="General">
                  <c:v>4062.9</c:v>
                </c:pt>
                <c:pt idx="222">
                  <c:v>4070.4</c:v>
                </c:pt>
                <c:pt idx="223">
                  <c:v>4077.24</c:v>
                </c:pt>
                <c:pt idx="224" formatCode="General">
                  <c:v>4082.9</c:v>
                </c:pt>
                <c:pt idx="225" formatCode="General">
                  <c:v>4095.4</c:v>
                </c:pt>
                <c:pt idx="226">
                  <c:v>4106.13</c:v>
                </c:pt>
                <c:pt idx="227" formatCode="General">
                  <c:v>4107.8999999999996</c:v>
                </c:pt>
                <c:pt idx="228">
                  <c:v>4112.8999999999996</c:v>
                </c:pt>
                <c:pt idx="229">
                  <c:v>4135.3</c:v>
                </c:pt>
                <c:pt idx="230">
                  <c:v>4164.16</c:v>
                </c:pt>
                <c:pt idx="231">
                  <c:v>4193.21</c:v>
                </c:pt>
                <c:pt idx="232" formatCode="General">
                  <c:v>4208.3</c:v>
                </c:pt>
                <c:pt idx="233" formatCode="General">
                  <c:v>4215.8</c:v>
                </c:pt>
                <c:pt idx="234">
                  <c:v>4221.84</c:v>
                </c:pt>
                <c:pt idx="235">
                  <c:v>4228.3</c:v>
                </c:pt>
                <c:pt idx="236" formatCode="General">
                  <c:v>4240.8</c:v>
                </c:pt>
                <c:pt idx="237">
                  <c:v>4250.54</c:v>
                </c:pt>
                <c:pt idx="238" formatCode="General">
                  <c:v>4253.3</c:v>
                </c:pt>
                <c:pt idx="239">
                  <c:v>4265.8</c:v>
                </c:pt>
                <c:pt idx="240" formatCode="General">
                  <c:v>4278.3</c:v>
                </c:pt>
                <c:pt idx="241">
                  <c:v>4279.54</c:v>
                </c:pt>
                <c:pt idx="242" formatCode="General">
                  <c:v>4290.8</c:v>
                </c:pt>
                <c:pt idx="243" formatCode="General">
                  <c:v>4303.3</c:v>
                </c:pt>
                <c:pt idx="244">
                  <c:v>4308.3</c:v>
                </c:pt>
                <c:pt idx="245">
                  <c:v>4308.3900000000003</c:v>
                </c:pt>
                <c:pt idx="246" formatCode="General">
                  <c:v>4315.8</c:v>
                </c:pt>
                <c:pt idx="247" formatCode="General">
                  <c:v>4328.3</c:v>
                </c:pt>
                <c:pt idx="248">
                  <c:v>4337.3</c:v>
                </c:pt>
                <c:pt idx="249" formatCode="General">
                  <c:v>4340.8</c:v>
                </c:pt>
                <c:pt idx="250">
                  <c:v>4353.3</c:v>
                </c:pt>
                <c:pt idx="251" formatCode="General">
                  <c:v>4365.8</c:v>
                </c:pt>
                <c:pt idx="252">
                  <c:v>4366.2</c:v>
                </c:pt>
                <c:pt idx="253" formatCode="General">
                  <c:v>4378.3</c:v>
                </c:pt>
                <c:pt idx="254">
                  <c:v>4390.8</c:v>
                </c:pt>
                <c:pt idx="255">
                  <c:v>4395.0600000000004</c:v>
                </c:pt>
                <c:pt idx="256" formatCode="General">
                  <c:v>4403.3</c:v>
                </c:pt>
                <c:pt idx="257" formatCode="General">
                  <c:v>4408.3</c:v>
                </c:pt>
                <c:pt idx="258">
                  <c:v>4415.8</c:v>
                </c:pt>
                <c:pt idx="259">
                  <c:v>4422.55</c:v>
                </c:pt>
                <c:pt idx="260">
                  <c:v>4428.3</c:v>
                </c:pt>
                <c:pt idx="261">
                  <c:v>4440.8</c:v>
                </c:pt>
                <c:pt idx="262">
                  <c:v>4450.58</c:v>
                </c:pt>
                <c:pt idx="263">
                  <c:v>4453.3</c:v>
                </c:pt>
                <c:pt idx="264" formatCode="General">
                  <c:v>4465.8</c:v>
                </c:pt>
                <c:pt idx="265">
                  <c:v>4478.3</c:v>
                </c:pt>
                <c:pt idx="266">
                  <c:v>4479.54</c:v>
                </c:pt>
                <c:pt idx="267" formatCode="General">
                  <c:v>4490.8</c:v>
                </c:pt>
                <c:pt idx="268" formatCode="General">
                  <c:v>4503.3</c:v>
                </c:pt>
                <c:pt idx="269">
                  <c:v>4508.28</c:v>
                </c:pt>
                <c:pt idx="270">
                  <c:v>4508.3</c:v>
                </c:pt>
                <c:pt idx="271" formatCode="General">
                  <c:v>4515.8</c:v>
                </c:pt>
                <c:pt idx="272" formatCode="General">
                  <c:v>4528.3</c:v>
                </c:pt>
                <c:pt idx="273">
                  <c:v>4537.1400000000003</c:v>
                </c:pt>
                <c:pt idx="274" formatCode="General">
                  <c:v>4540.8</c:v>
                </c:pt>
                <c:pt idx="275">
                  <c:v>4553.3</c:v>
                </c:pt>
                <c:pt idx="276" formatCode="General">
                  <c:v>4565.8</c:v>
                </c:pt>
                <c:pt idx="277">
                  <c:v>4565.9399999999996</c:v>
                </c:pt>
                <c:pt idx="278" formatCode="General">
                  <c:v>4578.3</c:v>
                </c:pt>
                <c:pt idx="279">
                  <c:v>4590.8</c:v>
                </c:pt>
                <c:pt idx="280">
                  <c:v>4595.1499999999996</c:v>
                </c:pt>
                <c:pt idx="281" formatCode="General">
                  <c:v>4603.3</c:v>
                </c:pt>
                <c:pt idx="282" formatCode="General">
                  <c:v>4608.3</c:v>
                </c:pt>
                <c:pt idx="283">
                  <c:v>4624.01</c:v>
                </c:pt>
                <c:pt idx="284" formatCode="General">
                  <c:v>4624.3</c:v>
                </c:pt>
                <c:pt idx="285">
                  <c:v>4631.8</c:v>
                </c:pt>
                <c:pt idx="286" formatCode="General">
                  <c:v>4644.3</c:v>
                </c:pt>
                <c:pt idx="287">
                  <c:v>4652.8999999999996</c:v>
                </c:pt>
                <c:pt idx="288" formatCode="General">
                  <c:v>4656.8</c:v>
                </c:pt>
                <c:pt idx="289" formatCode="General">
                  <c:v>4669.3</c:v>
                </c:pt>
                <c:pt idx="290">
                  <c:v>4681.8</c:v>
                </c:pt>
                <c:pt idx="291">
                  <c:v>4681.88</c:v>
                </c:pt>
                <c:pt idx="292" formatCode="General">
                  <c:v>4694.3</c:v>
                </c:pt>
                <c:pt idx="293" formatCode="General">
                  <c:v>4706.8</c:v>
                </c:pt>
                <c:pt idx="294">
                  <c:v>4710.72</c:v>
                </c:pt>
                <c:pt idx="295">
                  <c:v>4719.3</c:v>
                </c:pt>
                <c:pt idx="296" formatCode="General">
                  <c:v>4724.3</c:v>
                </c:pt>
                <c:pt idx="297">
                  <c:v>4739.87</c:v>
                </c:pt>
                <c:pt idx="298">
                  <c:v>4768.9799999999996</c:v>
                </c:pt>
                <c:pt idx="299">
                  <c:v>4797.76</c:v>
                </c:pt>
                <c:pt idx="300">
                  <c:v>4826.84</c:v>
                </c:pt>
                <c:pt idx="301" formatCode="General">
                  <c:v>4854.8999999999996</c:v>
                </c:pt>
                <c:pt idx="302">
                  <c:v>4855.8500000000004</c:v>
                </c:pt>
                <c:pt idx="303" formatCode="General">
                  <c:v>4862.3999999999996</c:v>
                </c:pt>
                <c:pt idx="304">
                  <c:v>4874.8999999999996</c:v>
                </c:pt>
                <c:pt idx="305">
                  <c:v>4885.0200000000004</c:v>
                </c:pt>
                <c:pt idx="306" formatCode="General">
                  <c:v>4887.3999999999996</c:v>
                </c:pt>
                <c:pt idx="307" formatCode="General">
                  <c:v>4899.8999999999996</c:v>
                </c:pt>
                <c:pt idx="308">
                  <c:v>4912.3999999999996</c:v>
                </c:pt>
                <c:pt idx="309">
                  <c:v>4913.55</c:v>
                </c:pt>
                <c:pt idx="310" formatCode="General">
                  <c:v>4924.8999999999996</c:v>
                </c:pt>
                <c:pt idx="311" formatCode="General">
                  <c:v>4937.3999999999996</c:v>
                </c:pt>
                <c:pt idx="312">
                  <c:v>4942.6400000000003</c:v>
                </c:pt>
                <c:pt idx="313" formatCode="General">
                  <c:v>4949.8999999999996</c:v>
                </c:pt>
                <c:pt idx="314">
                  <c:v>4954.8999999999996</c:v>
                </c:pt>
                <c:pt idx="315">
                  <c:v>4962.3999999999996</c:v>
                </c:pt>
                <c:pt idx="316">
                  <c:v>4971.1099999999997</c:v>
                </c:pt>
                <c:pt idx="317">
                  <c:v>4974.8999999999996</c:v>
                </c:pt>
                <c:pt idx="318">
                  <c:v>4987.3999999999996</c:v>
                </c:pt>
                <c:pt idx="319">
                  <c:v>4999.8999999999996</c:v>
                </c:pt>
                <c:pt idx="320">
                  <c:v>5000.5200000000004</c:v>
                </c:pt>
                <c:pt idx="321" formatCode="General">
                  <c:v>5012.3999999999996</c:v>
                </c:pt>
                <c:pt idx="322" formatCode="General">
                  <c:v>5024.8999999999996</c:v>
                </c:pt>
                <c:pt idx="323">
                  <c:v>5029.5200000000004</c:v>
                </c:pt>
                <c:pt idx="324">
                  <c:v>5037.3999999999996</c:v>
                </c:pt>
                <c:pt idx="325" formatCode="General">
                  <c:v>5049.8999999999996</c:v>
                </c:pt>
                <c:pt idx="326" formatCode="General">
                  <c:v>5054.8999999999996</c:v>
                </c:pt>
                <c:pt idx="327">
                  <c:v>5057.6499999999996</c:v>
                </c:pt>
                <c:pt idx="328" formatCode="General">
                  <c:v>5062.3999999999996</c:v>
                </c:pt>
                <c:pt idx="329">
                  <c:v>5074.8999999999996</c:v>
                </c:pt>
                <c:pt idx="330">
                  <c:v>5085.29</c:v>
                </c:pt>
                <c:pt idx="331" formatCode="General">
                  <c:v>5087.3999999999996</c:v>
                </c:pt>
                <c:pt idx="332" formatCode="General">
                  <c:v>5099.8999999999996</c:v>
                </c:pt>
                <c:pt idx="333" formatCode="General">
                  <c:v>5104.8999999999996</c:v>
                </c:pt>
                <c:pt idx="334">
                  <c:v>5114.55</c:v>
                </c:pt>
                <c:pt idx="335">
                  <c:v>5143.82</c:v>
                </c:pt>
                <c:pt idx="336">
                  <c:v>5172.68</c:v>
                </c:pt>
                <c:pt idx="337">
                  <c:v>5201.7</c:v>
                </c:pt>
                <c:pt idx="338">
                  <c:v>5230.72</c:v>
                </c:pt>
                <c:pt idx="339">
                  <c:v>5241.3</c:v>
                </c:pt>
                <c:pt idx="340" formatCode="General">
                  <c:v>5248.8</c:v>
                </c:pt>
                <c:pt idx="341">
                  <c:v>5259.84</c:v>
                </c:pt>
                <c:pt idx="342" formatCode="General">
                  <c:v>5261.3</c:v>
                </c:pt>
                <c:pt idx="343">
                  <c:v>5273.8</c:v>
                </c:pt>
                <c:pt idx="344" formatCode="General">
                  <c:v>5286.3</c:v>
                </c:pt>
                <c:pt idx="345">
                  <c:v>5289.38</c:v>
                </c:pt>
                <c:pt idx="346">
                  <c:v>5291.3</c:v>
                </c:pt>
                <c:pt idx="347">
                  <c:v>5311.3</c:v>
                </c:pt>
                <c:pt idx="348" formatCode="General">
                  <c:v>5318.8</c:v>
                </c:pt>
                <c:pt idx="349">
                  <c:v>5318.84</c:v>
                </c:pt>
                <c:pt idx="350">
                  <c:v>5331.3</c:v>
                </c:pt>
                <c:pt idx="351" formatCode="General">
                  <c:v>5343.8</c:v>
                </c:pt>
                <c:pt idx="352">
                  <c:v>5348.37</c:v>
                </c:pt>
                <c:pt idx="353">
                  <c:v>5356.3</c:v>
                </c:pt>
                <c:pt idx="354">
                  <c:v>5377.69</c:v>
                </c:pt>
                <c:pt idx="355">
                  <c:v>5406.98</c:v>
                </c:pt>
                <c:pt idx="356">
                  <c:v>5428</c:v>
                </c:pt>
                <c:pt idx="357">
                  <c:v>5436.05</c:v>
                </c:pt>
                <c:pt idx="358">
                  <c:v>5438.8</c:v>
                </c:pt>
                <c:pt idx="359">
                  <c:v>5465.05</c:v>
                </c:pt>
                <c:pt idx="360">
                  <c:v>5493.82</c:v>
                </c:pt>
                <c:pt idx="361">
                  <c:v>5501.88</c:v>
                </c:pt>
              </c:numCache>
            </c:numRef>
          </c:xVal>
          <c:yVal>
            <c:numRef>
              <c:f>'LCa-3159 '!$B$2:$B$363</c:f>
              <c:numCache>
                <c:formatCode>0.00</c:formatCode>
                <c:ptCount val="362"/>
                <c:pt idx="0">
                  <c:v>0</c:v>
                </c:pt>
                <c:pt idx="1">
                  <c:v>26</c:v>
                </c:pt>
                <c:pt idx="2">
                  <c:v>53.67</c:v>
                </c:pt>
                <c:pt idx="3">
                  <c:v>81.48</c:v>
                </c:pt>
                <c:pt idx="4">
                  <c:v>106.59</c:v>
                </c:pt>
                <c:pt idx="5">
                  <c:v>134.29</c:v>
                </c:pt>
                <c:pt idx="6">
                  <c:v>164.3</c:v>
                </c:pt>
                <c:pt idx="7">
                  <c:v>193.46</c:v>
                </c:pt>
                <c:pt idx="8">
                  <c:v>222.05</c:v>
                </c:pt>
                <c:pt idx="9">
                  <c:v>251.88</c:v>
                </c:pt>
                <c:pt idx="10">
                  <c:v>281.25</c:v>
                </c:pt>
                <c:pt idx="11">
                  <c:v>309.92</c:v>
                </c:pt>
                <c:pt idx="12">
                  <c:v>339.48</c:v>
                </c:pt>
                <c:pt idx="13">
                  <c:v>368.47</c:v>
                </c:pt>
                <c:pt idx="14">
                  <c:v>398.05</c:v>
                </c:pt>
                <c:pt idx="15">
                  <c:v>427.65</c:v>
                </c:pt>
                <c:pt idx="16">
                  <c:v>457.21</c:v>
                </c:pt>
                <c:pt idx="17">
                  <c:v>486.77</c:v>
                </c:pt>
                <c:pt idx="18">
                  <c:v>516.37</c:v>
                </c:pt>
                <c:pt idx="19">
                  <c:v>545.29999999999995</c:v>
                </c:pt>
                <c:pt idx="20">
                  <c:v>574.98</c:v>
                </c:pt>
                <c:pt idx="21">
                  <c:v>604.65</c:v>
                </c:pt>
                <c:pt idx="22">
                  <c:v>634</c:v>
                </c:pt>
                <c:pt idx="23">
                  <c:v>663.08</c:v>
                </c:pt>
                <c:pt idx="24">
                  <c:v>692.14</c:v>
                </c:pt>
                <c:pt idx="25">
                  <c:v>720.92</c:v>
                </c:pt>
                <c:pt idx="26">
                  <c:v>742.78</c:v>
                </c:pt>
                <c:pt idx="27">
                  <c:v>773.91</c:v>
                </c:pt>
                <c:pt idx="28">
                  <c:v>802.86</c:v>
                </c:pt>
                <c:pt idx="29">
                  <c:v>832.02</c:v>
                </c:pt>
                <c:pt idx="30">
                  <c:v>860.96</c:v>
                </c:pt>
                <c:pt idx="31">
                  <c:v>889.78</c:v>
                </c:pt>
                <c:pt idx="32">
                  <c:v>918.48</c:v>
                </c:pt>
                <c:pt idx="33">
                  <c:v>947.39</c:v>
                </c:pt>
                <c:pt idx="34">
                  <c:v>976.21</c:v>
                </c:pt>
                <c:pt idx="35">
                  <c:v>1004.96</c:v>
                </c:pt>
                <c:pt idx="36">
                  <c:v>1033.4100000000001</c:v>
                </c:pt>
                <c:pt idx="37">
                  <c:v>1061.78</c:v>
                </c:pt>
                <c:pt idx="38">
                  <c:v>1089.3800000000001</c:v>
                </c:pt>
                <c:pt idx="39">
                  <c:v>1117.3800000000001</c:v>
                </c:pt>
                <c:pt idx="40">
                  <c:v>1145.3499999999999</c:v>
                </c:pt>
                <c:pt idx="41">
                  <c:v>1172.51</c:v>
                </c:pt>
                <c:pt idx="42">
                  <c:v>1199.77</c:v>
                </c:pt>
                <c:pt idx="43">
                  <c:v>1227.07</c:v>
                </c:pt>
                <c:pt idx="44">
                  <c:v>1254.47</c:v>
                </c:pt>
                <c:pt idx="45">
                  <c:v>1282.3800000000001</c:v>
                </c:pt>
                <c:pt idx="46">
                  <c:v>1310.52</c:v>
                </c:pt>
                <c:pt idx="47">
                  <c:v>1338.82</c:v>
                </c:pt>
                <c:pt idx="48">
                  <c:v>1369</c:v>
                </c:pt>
                <c:pt idx="49">
                  <c:v>1396.65</c:v>
                </c:pt>
                <c:pt idx="50">
                  <c:v>1424.86</c:v>
                </c:pt>
                <c:pt idx="51">
                  <c:v>1453.07</c:v>
                </c:pt>
                <c:pt idx="52">
                  <c:v>1481.52</c:v>
                </c:pt>
                <c:pt idx="53">
                  <c:v>1509.89</c:v>
                </c:pt>
                <c:pt idx="54">
                  <c:v>1538.41</c:v>
                </c:pt>
                <c:pt idx="55">
                  <c:v>1566.83</c:v>
                </c:pt>
                <c:pt idx="56">
                  <c:v>1595.3</c:v>
                </c:pt>
                <c:pt idx="57">
                  <c:v>1624.02</c:v>
                </c:pt>
                <c:pt idx="58">
                  <c:v>1652.84</c:v>
                </c:pt>
                <c:pt idx="59">
                  <c:v>1681.88</c:v>
                </c:pt>
                <c:pt idx="60">
                  <c:v>1710.37</c:v>
                </c:pt>
                <c:pt idx="61">
                  <c:v>1738.96</c:v>
                </c:pt>
                <c:pt idx="62">
                  <c:v>1767.35</c:v>
                </c:pt>
                <c:pt idx="63">
                  <c:v>1796.14</c:v>
                </c:pt>
                <c:pt idx="64">
                  <c:v>1815.23</c:v>
                </c:pt>
                <c:pt idx="65">
                  <c:v>1848.54</c:v>
                </c:pt>
                <c:pt idx="66">
                  <c:v>1877.83</c:v>
                </c:pt>
                <c:pt idx="67">
                  <c:v>1906.74</c:v>
                </c:pt>
                <c:pt idx="68">
                  <c:v>1935.73</c:v>
                </c:pt>
                <c:pt idx="69">
                  <c:v>1964.56</c:v>
                </c:pt>
                <c:pt idx="70">
                  <c:v>1993.5</c:v>
                </c:pt>
                <c:pt idx="71">
                  <c:v>2022.56</c:v>
                </c:pt>
                <c:pt idx="72">
                  <c:v>2051.39</c:v>
                </c:pt>
                <c:pt idx="73">
                  <c:v>2080.1</c:v>
                </c:pt>
                <c:pt idx="74">
                  <c:v>2108.92</c:v>
                </c:pt>
                <c:pt idx="75">
                  <c:v>2137.6999999999998</c:v>
                </c:pt>
                <c:pt idx="76">
                  <c:v>2161.06</c:v>
                </c:pt>
                <c:pt idx="77">
                  <c:v>2166.6</c:v>
                </c:pt>
                <c:pt idx="78">
                  <c:v>2195.56</c:v>
                </c:pt>
                <c:pt idx="79">
                  <c:v>2224.54</c:v>
                </c:pt>
                <c:pt idx="80">
                  <c:v>2253.58</c:v>
                </c:pt>
                <c:pt idx="81">
                  <c:v>2282.48</c:v>
                </c:pt>
                <c:pt idx="82">
                  <c:v>2311.61</c:v>
                </c:pt>
                <c:pt idx="83">
                  <c:v>2340.39</c:v>
                </c:pt>
                <c:pt idx="84">
                  <c:v>2369.4699999999998</c:v>
                </c:pt>
                <c:pt idx="85">
                  <c:v>2398.4699999999998</c:v>
                </c:pt>
                <c:pt idx="86">
                  <c:v>2427.4299999999998</c:v>
                </c:pt>
                <c:pt idx="87">
                  <c:v>2454.02</c:v>
                </c:pt>
                <c:pt idx="88">
                  <c:v>2456.5</c:v>
                </c:pt>
                <c:pt idx="89">
                  <c:v>2485.4499999999998</c:v>
                </c:pt>
                <c:pt idx="90">
                  <c:v>2514.13</c:v>
                </c:pt>
                <c:pt idx="91">
                  <c:v>2542.5500000000002</c:v>
                </c:pt>
                <c:pt idx="92">
                  <c:v>2570.48</c:v>
                </c:pt>
                <c:pt idx="93">
                  <c:v>2597.86</c:v>
                </c:pt>
                <c:pt idx="94">
                  <c:v>2624.35</c:v>
                </c:pt>
                <c:pt idx="95">
                  <c:v>2649.12</c:v>
                </c:pt>
                <c:pt idx="96">
                  <c:v>2672.72</c:v>
                </c:pt>
                <c:pt idx="97">
                  <c:v>2694.06</c:v>
                </c:pt>
                <c:pt idx="98">
                  <c:v>2713.06</c:v>
                </c:pt>
                <c:pt idx="99">
                  <c:v>2729.69</c:v>
                </c:pt>
                <c:pt idx="100">
                  <c:v>2743.73</c:v>
                </c:pt>
                <c:pt idx="101">
                  <c:v>2755.11</c:v>
                </c:pt>
                <c:pt idx="102">
                  <c:v>2764.02</c:v>
                </c:pt>
                <c:pt idx="103">
                  <c:v>2764.9597529169528</c:v>
                </c:pt>
                <c:pt idx="104">
                  <c:v>2767.5935895676048</c:v>
                </c:pt>
                <c:pt idx="105">
                  <c:v>2770.16</c:v>
                </c:pt>
                <c:pt idx="106">
                  <c:v>2770.1903192584964</c:v>
                </c:pt>
                <c:pt idx="107">
                  <c:v>2771.374665293512</c:v>
                </c:pt>
                <c:pt idx="108">
                  <c:v>2771.8010298661175</c:v>
                </c:pt>
                <c:pt idx="109">
                  <c:v>2772.5590113285275</c:v>
                </c:pt>
                <c:pt idx="110">
                  <c:v>2772.92</c:v>
                </c:pt>
                <c:pt idx="111">
                  <c:v>2773.0690566037738</c:v>
                </c:pt>
                <c:pt idx="112">
                  <c:v>2773.2834648370499</c:v>
                </c:pt>
                <c:pt idx="113">
                  <c:v>2773.42</c:v>
                </c:pt>
                <c:pt idx="114">
                  <c:v>2773.4527403846155</c:v>
                </c:pt>
                <c:pt idx="115">
                  <c:v>2773.542884615385</c:v>
                </c:pt>
                <c:pt idx="116">
                  <c:v>2773.63</c:v>
                </c:pt>
                <c:pt idx="117">
                  <c:v>2773.631582191781</c:v>
                </c:pt>
                <c:pt idx="118">
                  <c:v>2773.6786712328767</c:v>
                </c:pt>
                <c:pt idx="119">
                  <c:v>2773.7257602739724</c:v>
                </c:pt>
                <c:pt idx="120">
                  <c:v>2773.74</c:v>
                </c:pt>
                <c:pt idx="121">
                  <c:v>2773.7416700889803</c:v>
                </c:pt>
                <c:pt idx="122">
                  <c:v>2773.78</c:v>
                </c:pt>
                <c:pt idx="123">
                  <c:v>2773.95</c:v>
                </c:pt>
                <c:pt idx="124">
                  <c:v>2774.16</c:v>
                </c:pt>
                <c:pt idx="125">
                  <c:v>2774.59</c:v>
                </c:pt>
                <c:pt idx="126">
                  <c:v>2775.23</c:v>
                </c:pt>
                <c:pt idx="127">
                  <c:v>2775.57</c:v>
                </c:pt>
                <c:pt idx="128">
                  <c:v>2775.7200309278351</c:v>
                </c:pt>
                <c:pt idx="129">
                  <c:v>2775.7741546391753</c:v>
                </c:pt>
                <c:pt idx="130">
                  <c:v>2775.78</c:v>
                </c:pt>
                <c:pt idx="131">
                  <c:v>2775.9092605390465</c:v>
                </c:pt>
                <c:pt idx="132">
                  <c:v>2776.0474775397374</c:v>
                </c:pt>
                <c:pt idx="133">
                  <c:v>2776.1</c:v>
                </c:pt>
                <c:pt idx="134">
                  <c:v>2776.2263440860215</c:v>
                </c:pt>
                <c:pt idx="135">
                  <c:v>2776.4301248699276</c:v>
                </c:pt>
                <c:pt idx="136">
                  <c:v>2776.57</c:v>
                </c:pt>
                <c:pt idx="137">
                  <c:v>2776.6413461538464</c:v>
                </c:pt>
                <c:pt idx="138">
                  <c:v>2776.8688530219779</c:v>
                </c:pt>
                <c:pt idx="139">
                  <c:v>2777.0963598901099</c:v>
                </c:pt>
                <c:pt idx="140">
                  <c:v>2777.1</c:v>
                </c:pt>
                <c:pt idx="141">
                  <c:v>2777.1678152997933</c:v>
                </c:pt>
                <c:pt idx="142">
                  <c:v>2777.2737767057201</c:v>
                </c:pt>
                <c:pt idx="143">
                  <c:v>2777.4503790489321</c:v>
                </c:pt>
                <c:pt idx="144">
                  <c:v>2777.51</c:v>
                </c:pt>
                <c:pt idx="145">
                  <c:v>2777.6045467128033</c:v>
                </c:pt>
                <c:pt idx="146">
                  <c:v>2777.747280276817</c:v>
                </c:pt>
                <c:pt idx="147">
                  <c:v>2777.84</c:v>
                </c:pt>
                <c:pt idx="148">
                  <c:v>2777.9186192613051</c:v>
                </c:pt>
                <c:pt idx="149">
                  <c:v>2778.1429892992755</c:v>
                </c:pt>
                <c:pt idx="150">
                  <c:v>2778.36</c:v>
                </c:pt>
                <c:pt idx="151">
                  <c:v>2778.3636619718309</c:v>
                </c:pt>
                <c:pt idx="152">
                  <c:v>2778.4753074544828</c:v>
                </c:pt>
                <c:pt idx="153">
                  <c:v>2778.5199656475438</c:v>
                </c:pt>
                <c:pt idx="154">
                  <c:v>2778.62</c:v>
                </c:pt>
                <c:pt idx="155">
                  <c:v>2778.47</c:v>
                </c:pt>
                <c:pt idx="156">
                  <c:v>2778.392432524769</c:v>
                </c:pt>
                <c:pt idx="157">
                  <c:v>2778.3514349162965</c:v>
                </c:pt>
                <c:pt idx="158">
                  <c:v>2778.31</c:v>
                </c:pt>
                <c:pt idx="159">
                  <c:v>2778.2861990324809</c:v>
                </c:pt>
                <c:pt idx="160">
                  <c:v>2778.2257290946782</c:v>
                </c:pt>
                <c:pt idx="161">
                  <c:v>2778.17</c:v>
                </c:pt>
                <c:pt idx="162">
                  <c:v>2778.1753846153847</c:v>
                </c:pt>
                <c:pt idx="163">
                  <c:v>2778.2440659340659</c:v>
                </c:pt>
                <c:pt idx="164">
                  <c:v>2778.3127472527472</c:v>
                </c:pt>
                <c:pt idx="165">
                  <c:v>2778.33</c:v>
                </c:pt>
                <c:pt idx="166">
                  <c:v>2778.4562240663895</c:v>
                </c:pt>
                <c:pt idx="167">
                  <c:v>2778.62479253112</c:v>
                </c:pt>
                <c:pt idx="168">
                  <c:v>2778.6922199170117</c:v>
                </c:pt>
                <c:pt idx="169">
                  <c:v>2778.72</c:v>
                </c:pt>
                <c:pt idx="170">
                  <c:v>2778.7556045470201</c:v>
                </c:pt>
                <c:pt idx="171">
                  <c:v>2778.8374164657248</c:v>
                </c:pt>
                <c:pt idx="172">
                  <c:v>2778.91</c:v>
                </c:pt>
                <c:pt idx="173">
                  <c:v>2778.9216248711782</c:v>
                </c:pt>
                <c:pt idx="174">
                  <c:v>2779.0246822397798</c:v>
                </c:pt>
                <c:pt idx="175">
                  <c:v>2779.1277396083819</c:v>
                </c:pt>
                <c:pt idx="176">
                  <c:v>2779.15</c:v>
                </c:pt>
                <c:pt idx="177">
                  <c:v>2779.2789473684211</c:v>
                </c:pt>
                <c:pt idx="178">
                  <c:v>2779.4434210526315</c:v>
                </c:pt>
                <c:pt idx="179">
                  <c:v>2779.53</c:v>
                </c:pt>
                <c:pt idx="180">
                  <c:v>2779.6096962374872</c:v>
                </c:pt>
                <c:pt idx="181">
                  <c:v>2779.6770072488785</c:v>
                </c:pt>
                <c:pt idx="182">
                  <c:v>2779.7779737659648</c:v>
                </c:pt>
                <c:pt idx="183">
                  <c:v>2779.92</c:v>
                </c:pt>
                <c:pt idx="184">
                  <c:v>2779.9462422360243</c:v>
                </c:pt>
                <c:pt idx="185">
                  <c:v>2780.1144616977222</c:v>
                </c:pt>
                <c:pt idx="186">
                  <c:v>2780.28268115942</c:v>
                </c:pt>
                <c:pt idx="187">
                  <c:v>2780.31</c:v>
                </c:pt>
                <c:pt idx="188">
                  <c:v>2780.3475785340315</c:v>
                </c:pt>
                <c:pt idx="189">
                  <c:v>2780.6</c:v>
                </c:pt>
                <c:pt idx="190">
                  <c:v>2780.98</c:v>
                </c:pt>
                <c:pt idx="191">
                  <c:v>2781.33</c:v>
                </c:pt>
                <c:pt idx="192">
                  <c:v>2781.68</c:v>
                </c:pt>
                <c:pt idx="193">
                  <c:v>2782</c:v>
                </c:pt>
                <c:pt idx="194">
                  <c:v>2782.1743207742829</c:v>
                </c:pt>
                <c:pt idx="195">
                  <c:v>2782.2495022468029</c:v>
                </c:pt>
                <c:pt idx="196">
                  <c:v>2782.29</c:v>
                </c:pt>
                <c:pt idx="197">
                  <c:v>2782.3885068493155</c:v>
                </c:pt>
                <c:pt idx="198">
                  <c:v>2782.5340547945207</c:v>
                </c:pt>
                <c:pt idx="199">
                  <c:v>2782.63</c:v>
                </c:pt>
                <c:pt idx="200">
                  <c:v>2782.692254697286</c:v>
                </c:pt>
                <c:pt idx="201">
                  <c:v>2782.7653235908142</c:v>
                </c:pt>
                <c:pt idx="202">
                  <c:v>2782.8749269311065</c:v>
                </c:pt>
                <c:pt idx="203">
                  <c:v>2783.05</c:v>
                </c:pt>
                <c:pt idx="204">
                  <c:v>2783.0579416869145</c:v>
                </c:pt>
                <c:pt idx="205">
                  <c:v>2783.2488476223534</c:v>
                </c:pt>
                <c:pt idx="206">
                  <c:v>2783.4397535577923</c:v>
                </c:pt>
                <c:pt idx="207">
                  <c:v>2783.49</c:v>
                </c:pt>
                <c:pt idx="208">
                  <c:v>2783.5135699517568</c:v>
                </c:pt>
                <c:pt idx="209">
                  <c:v>2783.6169469331489</c:v>
                </c:pt>
                <c:pt idx="210">
                  <c:v>2783.7892419021359</c:v>
                </c:pt>
                <c:pt idx="211">
                  <c:v>2783.89</c:v>
                </c:pt>
                <c:pt idx="212">
                  <c:v>2783.9668756458836</c:v>
                </c:pt>
                <c:pt idx="213">
                  <c:v>2784.152028935584</c:v>
                </c:pt>
                <c:pt idx="214">
                  <c:v>2784.226090251464</c:v>
                </c:pt>
                <c:pt idx="215">
                  <c:v>2784.32</c:v>
                </c:pt>
                <c:pt idx="216">
                  <c:v>2784.3364056571231</c:v>
                </c:pt>
                <c:pt idx="217">
                  <c:v>2784.5131907554328</c:v>
                </c:pt>
                <c:pt idx="218">
                  <c:v>2784.6899758537425</c:v>
                </c:pt>
                <c:pt idx="219">
                  <c:v>2784.73</c:v>
                </c:pt>
                <c:pt idx="220">
                  <c:v>2784.8566666666666</c:v>
                </c:pt>
                <c:pt idx="221">
                  <c:v>2784.9221613236814</c:v>
                </c:pt>
                <c:pt idx="222">
                  <c:v>2785.0204033092036</c:v>
                </c:pt>
                <c:pt idx="223">
                  <c:v>2785.11</c:v>
                </c:pt>
                <c:pt idx="224">
                  <c:v>2785.1805295950157</c:v>
                </c:pt>
                <c:pt idx="225">
                  <c:v>2785.3362928348911</c:v>
                </c:pt>
                <c:pt idx="226">
                  <c:v>2785.47</c:v>
                </c:pt>
                <c:pt idx="227">
                  <c:v>2785.4869900582785</c:v>
                </c:pt>
                <c:pt idx="228">
                  <c:v>2785.5349845731912</c:v>
                </c:pt>
                <c:pt idx="229">
                  <c:v>2785.75</c:v>
                </c:pt>
                <c:pt idx="230">
                  <c:v>2786.07</c:v>
                </c:pt>
                <c:pt idx="231">
                  <c:v>2786.33</c:v>
                </c:pt>
                <c:pt idx="232">
                  <c:v>2786.2772930492488</c:v>
                </c:pt>
                <c:pt idx="233">
                  <c:v>2786.2510967516591</c:v>
                </c:pt>
                <c:pt idx="234">
                  <c:v>2786.23</c:v>
                </c:pt>
                <c:pt idx="235">
                  <c:v>2786.1422160278744</c:v>
                </c:pt>
                <c:pt idx="236">
                  <c:v>2785.9723554006964</c:v>
                </c:pt>
                <c:pt idx="237">
                  <c:v>2785.84</c:v>
                </c:pt>
                <c:pt idx="238">
                  <c:v>2785.8076413793106</c:v>
                </c:pt>
                <c:pt idx="239">
                  <c:v>2785.6610896551724</c:v>
                </c:pt>
                <c:pt idx="240">
                  <c:v>2785.5145379310347</c:v>
                </c:pt>
                <c:pt idx="241">
                  <c:v>2785.5</c:v>
                </c:pt>
                <c:pt idx="242">
                  <c:v>2785.3672998266898</c:v>
                </c:pt>
                <c:pt idx="243">
                  <c:v>2785.2199861351819</c:v>
                </c:pt>
                <c:pt idx="244">
                  <c:v>2785.1610606585787</c:v>
                </c:pt>
                <c:pt idx="245">
                  <c:v>2785.16</c:v>
                </c:pt>
                <c:pt idx="246">
                  <c:v>2785.0446592874437</c:v>
                </c:pt>
                <c:pt idx="247">
                  <c:v>2784.8500899342789</c:v>
                </c:pt>
                <c:pt idx="248">
                  <c:v>2784.71</c:v>
                </c:pt>
                <c:pt idx="249">
                  <c:v>2784.6773010380621</c:v>
                </c:pt>
                <c:pt idx="250">
                  <c:v>2784.5605190311417</c:v>
                </c:pt>
                <c:pt idx="251">
                  <c:v>2784.4437370242213</c:v>
                </c:pt>
                <c:pt idx="252">
                  <c:v>2784.44</c:v>
                </c:pt>
                <c:pt idx="253">
                  <c:v>2784.486119196119</c:v>
                </c:pt>
                <c:pt idx="254">
                  <c:v>2784.5337629937626</c:v>
                </c:pt>
                <c:pt idx="255">
                  <c:v>2784.55</c:v>
                </c:pt>
                <c:pt idx="256">
                  <c:v>2784.6609057839219</c:v>
                </c:pt>
                <c:pt idx="257">
                  <c:v>2784.7282029829034</c:v>
                </c:pt>
                <c:pt idx="258">
                  <c:v>2784.8291487813754</c:v>
                </c:pt>
                <c:pt idx="259">
                  <c:v>2784.92</c:v>
                </c:pt>
                <c:pt idx="260">
                  <c:v>2785.0061576881913</c:v>
                </c:pt>
                <c:pt idx="261">
                  <c:v>2785.1934570103463</c:v>
                </c:pt>
                <c:pt idx="262">
                  <c:v>2785.34</c:v>
                </c:pt>
                <c:pt idx="263">
                  <c:v>2785.3315469613262</c:v>
                </c:pt>
                <c:pt idx="264">
                  <c:v>2785.2927002762431</c:v>
                </c:pt>
                <c:pt idx="265">
                  <c:v>2785.2538535911604</c:v>
                </c:pt>
                <c:pt idx="266">
                  <c:v>2785.25</c:v>
                </c:pt>
                <c:pt idx="267">
                  <c:v>2785.2108211551845</c:v>
                </c:pt>
                <c:pt idx="268">
                  <c:v>2785.1673277661794</c:v>
                </c:pt>
                <c:pt idx="269">
                  <c:v>2785.15</c:v>
                </c:pt>
                <c:pt idx="270">
                  <c:v>2785.1502910602912</c:v>
                </c:pt>
                <c:pt idx="271">
                  <c:v>2785.2594386694386</c:v>
                </c:pt>
                <c:pt idx="272">
                  <c:v>2785.4413513513514</c:v>
                </c:pt>
                <c:pt idx="273">
                  <c:v>2785.57</c:v>
                </c:pt>
                <c:pt idx="274">
                  <c:v>2785.595416666667</c:v>
                </c:pt>
                <c:pt idx="275">
                  <c:v>2785.6822222222222</c:v>
                </c:pt>
                <c:pt idx="276">
                  <c:v>2785.7690277777779</c:v>
                </c:pt>
                <c:pt idx="277">
                  <c:v>2785.77</c:v>
                </c:pt>
                <c:pt idx="278">
                  <c:v>2785.6769085929477</c:v>
                </c:pt>
                <c:pt idx="279">
                  <c:v>2785.5827627524823</c:v>
                </c:pt>
                <c:pt idx="280">
                  <c:v>2785.55</c:v>
                </c:pt>
                <c:pt idx="281">
                  <c:v>2785.5104643104646</c:v>
                </c:pt>
                <c:pt idx="282">
                  <c:v>2785.4862092862095</c:v>
                </c:pt>
                <c:pt idx="283">
                  <c:v>2785.41</c:v>
                </c:pt>
                <c:pt idx="284">
                  <c:v>2785.4097992384905</c:v>
                </c:pt>
                <c:pt idx="285">
                  <c:v>2785.4046071304947</c:v>
                </c:pt>
                <c:pt idx="286">
                  <c:v>2785.3959536171683</c:v>
                </c:pt>
                <c:pt idx="287">
                  <c:v>2785.39</c:v>
                </c:pt>
                <c:pt idx="288">
                  <c:v>2785.3926915113866</c:v>
                </c:pt>
                <c:pt idx="289">
                  <c:v>2785.4013181504479</c:v>
                </c:pt>
                <c:pt idx="290">
                  <c:v>2785.4099447895096</c:v>
                </c:pt>
                <c:pt idx="291">
                  <c:v>2785.41</c:v>
                </c:pt>
                <c:pt idx="292">
                  <c:v>2785.375547850208</c:v>
                </c:pt>
                <c:pt idx="293">
                  <c:v>2785.3408737864074</c:v>
                </c:pt>
                <c:pt idx="294">
                  <c:v>2785.33</c:v>
                </c:pt>
                <c:pt idx="295">
                  <c:v>2785.2505283018868</c:v>
                </c:pt>
                <c:pt idx="296">
                  <c:v>2785.204216123499</c:v>
                </c:pt>
                <c:pt idx="297">
                  <c:v>2785.06</c:v>
                </c:pt>
                <c:pt idx="298">
                  <c:v>2785.34</c:v>
                </c:pt>
                <c:pt idx="299">
                  <c:v>2785.85</c:v>
                </c:pt>
                <c:pt idx="300">
                  <c:v>2786.19</c:v>
                </c:pt>
                <c:pt idx="301">
                  <c:v>2786.6446087556019</c:v>
                </c:pt>
                <c:pt idx="302">
                  <c:v>2786.66</c:v>
                </c:pt>
                <c:pt idx="303">
                  <c:v>2786.7588001371273</c:v>
                </c:pt>
                <c:pt idx="304">
                  <c:v>2786.9473500171407</c:v>
                </c:pt>
                <c:pt idx="305">
                  <c:v>2787.1</c:v>
                </c:pt>
                <c:pt idx="306">
                  <c:v>2787.1158499824742</c:v>
                </c:pt>
                <c:pt idx="307">
                  <c:v>2787.1990956887485</c:v>
                </c:pt>
                <c:pt idx="308">
                  <c:v>2787.2823413950227</c:v>
                </c:pt>
                <c:pt idx="309">
                  <c:v>2787.29</c:v>
                </c:pt>
                <c:pt idx="310">
                  <c:v>2787.192457889309</c:v>
                </c:pt>
                <c:pt idx="311">
                  <c:v>2787.0850326572704</c:v>
                </c:pt>
                <c:pt idx="312">
                  <c:v>2787.04</c:v>
                </c:pt>
                <c:pt idx="313">
                  <c:v>2786.9660484720757</c:v>
                </c:pt>
                <c:pt idx="314">
                  <c:v>2786.9151176677201</c:v>
                </c:pt>
                <c:pt idx="315">
                  <c:v>2786.8387214611871</c:v>
                </c:pt>
                <c:pt idx="316">
                  <c:v>2786.75</c:v>
                </c:pt>
                <c:pt idx="317">
                  <c:v>2786.7061849710985</c:v>
                </c:pt>
                <c:pt idx="318">
                  <c:v>2786.5616763005783</c:v>
                </c:pt>
                <c:pt idx="319">
                  <c:v>2786.417167630058</c:v>
                </c:pt>
                <c:pt idx="320">
                  <c:v>2786.41</c:v>
                </c:pt>
                <c:pt idx="321">
                  <c:v>2786.3690344827583</c:v>
                </c:pt>
                <c:pt idx="322">
                  <c:v>2786.3259310344824</c:v>
                </c:pt>
                <c:pt idx="323">
                  <c:v>2786.31</c:v>
                </c:pt>
                <c:pt idx="324">
                  <c:v>2786.3940383931745</c:v>
                </c:pt>
                <c:pt idx="325">
                  <c:v>2786.5273480270175</c:v>
                </c:pt>
                <c:pt idx="326">
                  <c:v>2786.5806718805547</c:v>
                </c:pt>
                <c:pt idx="327">
                  <c:v>2786.61</c:v>
                </c:pt>
                <c:pt idx="328">
                  <c:v>2786.625466714906</c:v>
                </c:pt>
                <c:pt idx="329">
                  <c:v>2786.6661685962372</c:v>
                </c:pt>
                <c:pt idx="330">
                  <c:v>2786.7</c:v>
                </c:pt>
                <c:pt idx="331">
                  <c:v>2786.67980861244</c:v>
                </c:pt>
                <c:pt idx="332">
                  <c:v>2786.5601913875598</c:v>
                </c:pt>
                <c:pt idx="333">
                  <c:v>2786.512344497608</c:v>
                </c:pt>
                <c:pt idx="334">
                  <c:v>2786.42</c:v>
                </c:pt>
                <c:pt idx="335">
                  <c:v>2785.93</c:v>
                </c:pt>
                <c:pt idx="336">
                  <c:v>2785.81</c:v>
                </c:pt>
                <c:pt idx="337">
                  <c:v>2786.01</c:v>
                </c:pt>
                <c:pt idx="338">
                  <c:v>2785.72</c:v>
                </c:pt>
                <c:pt idx="339">
                  <c:v>2785.4947390109887</c:v>
                </c:pt>
                <c:pt idx="340">
                  <c:v>2785.3350549450547</c:v>
                </c:pt>
                <c:pt idx="341">
                  <c:v>2785.1</c:v>
                </c:pt>
                <c:pt idx="342">
                  <c:v>2785.0683683141501</c:v>
                </c:pt>
                <c:pt idx="343">
                  <c:v>2784.7975490859849</c:v>
                </c:pt>
                <c:pt idx="344">
                  <c:v>2784.5267298578196</c:v>
                </c:pt>
                <c:pt idx="345">
                  <c:v>2784.46</c:v>
                </c:pt>
                <c:pt idx="346">
                  <c:v>2784.41633401222</c:v>
                </c:pt>
                <c:pt idx="347">
                  <c:v>2783.9614799728442</c:v>
                </c:pt>
                <c:pt idx="348">
                  <c:v>2783.7909097080787</c:v>
                </c:pt>
                <c:pt idx="349">
                  <c:v>2783.79</c:v>
                </c:pt>
                <c:pt idx="350">
                  <c:v>2783.7267084321034</c:v>
                </c:pt>
                <c:pt idx="351">
                  <c:v>2783.6632136810026</c:v>
                </c:pt>
                <c:pt idx="352">
                  <c:v>2783.64</c:v>
                </c:pt>
                <c:pt idx="353">
                  <c:v>2783.7265484311051</c:v>
                </c:pt>
                <c:pt idx="354">
                  <c:v>2783.96</c:v>
                </c:pt>
                <c:pt idx="355">
                  <c:v>2784.09</c:v>
                </c:pt>
                <c:pt idx="356">
                  <c:v>2784.0827691778468</c:v>
                </c:pt>
                <c:pt idx="357">
                  <c:v>2784.08</c:v>
                </c:pt>
                <c:pt idx="358">
                  <c:v>2784.0809482758623</c:v>
                </c:pt>
                <c:pt idx="359">
                  <c:v>2784.09</c:v>
                </c:pt>
                <c:pt idx="360">
                  <c:v>2784.17</c:v>
                </c:pt>
                <c:pt idx="361">
                  <c:v>2784.16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2A-C74C-BB14-AE9D08CFA696}"/>
            </c:ext>
          </c:extLst>
        </c:ser>
        <c:ser>
          <c:idx val="3"/>
          <c:order val="3"/>
          <c:tx>
            <c:v>Top marker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'LCa-3159 '!$A$115:$A$363</c:f>
              <c:numCache>
                <c:formatCode>0.00</c:formatCode>
                <c:ptCount val="249"/>
                <c:pt idx="0">
                  <c:v>2968.16</c:v>
                </c:pt>
                <c:pt idx="1">
                  <c:v>2972.7</c:v>
                </c:pt>
                <c:pt idx="2" formatCode="General">
                  <c:v>2985.2</c:v>
                </c:pt>
                <c:pt idx="3">
                  <c:v>2997.28</c:v>
                </c:pt>
                <c:pt idx="4" formatCode="General">
                  <c:v>2997.7</c:v>
                </c:pt>
                <c:pt idx="5" formatCode="General">
                  <c:v>3010.2</c:v>
                </c:pt>
                <c:pt idx="6">
                  <c:v>3022.7</c:v>
                </c:pt>
                <c:pt idx="7">
                  <c:v>3026.48</c:v>
                </c:pt>
                <c:pt idx="8" formatCode="General">
                  <c:v>3027.7</c:v>
                </c:pt>
                <c:pt idx="9">
                  <c:v>3055.7</c:v>
                </c:pt>
                <c:pt idx="10">
                  <c:v>3084.97</c:v>
                </c:pt>
                <c:pt idx="11">
                  <c:v>3107.03</c:v>
                </c:pt>
                <c:pt idx="12">
                  <c:v>3126.76</c:v>
                </c:pt>
                <c:pt idx="13">
                  <c:v>3154.93</c:v>
                </c:pt>
                <c:pt idx="14">
                  <c:v>3184.21</c:v>
                </c:pt>
                <c:pt idx="15" formatCode="General">
                  <c:v>3205</c:v>
                </c:pt>
                <c:pt idx="16" formatCode="General">
                  <c:v>3212.5</c:v>
                </c:pt>
                <c:pt idx="17">
                  <c:v>3213.31</c:v>
                </c:pt>
                <c:pt idx="18">
                  <c:v>3225</c:v>
                </c:pt>
                <c:pt idx="19" formatCode="General">
                  <c:v>3237.5</c:v>
                </c:pt>
                <c:pt idx="20">
                  <c:v>3242.25</c:v>
                </c:pt>
                <c:pt idx="21" formatCode="General">
                  <c:v>3250</c:v>
                </c:pt>
                <c:pt idx="22" formatCode="General">
                  <c:v>3262.5</c:v>
                </c:pt>
                <c:pt idx="23">
                  <c:v>3271.08</c:v>
                </c:pt>
                <c:pt idx="24">
                  <c:v>3275</c:v>
                </c:pt>
                <c:pt idx="25" formatCode="General">
                  <c:v>3287.5</c:v>
                </c:pt>
                <c:pt idx="26" formatCode="General">
                  <c:v>3300</c:v>
                </c:pt>
                <c:pt idx="27">
                  <c:v>3300.2</c:v>
                </c:pt>
                <c:pt idx="28" formatCode="General">
                  <c:v>3305</c:v>
                </c:pt>
                <c:pt idx="29">
                  <c:v>3312.5</c:v>
                </c:pt>
                <c:pt idx="30" formatCode="General">
                  <c:v>3325</c:v>
                </c:pt>
                <c:pt idx="31">
                  <c:v>3329.22</c:v>
                </c:pt>
                <c:pt idx="32" formatCode="General">
                  <c:v>3337.5</c:v>
                </c:pt>
                <c:pt idx="33" formatCode="General">
                  <c:v>3350</c:v>
                </c:pt>
                <c:pt idx="34">
                  <c:v>3358.12</c:v>
                </c:pt>
                <c:pt idx="35">
                  <c:v>3362.5</c:v>
                </c:pt>
                <c:pt idx="36" formatCode="General">
                  <c:v>3375</c:v>
                </c:pt>
                <c:pt idx="37">
                  <c:v>3387.09</c:v>
                </c:pt>
                <c:pt idx="38" formatCode="General">
                  <c:v>3387.5</c:v>
                </c:pt>
                <c:pt idx="39">
                  <c:v>3400</c:v>
                </c:pt>
                <c:pt idx="40" formatCode="General">
                  <c:v>3405</c:v>
                </c:pt>
                <c:pt idx="41">
                  <c:v>3416.2</c:v>
                </c:pt>
                <c:pt idx="42">
                  <c:v>3444.81</c:v>
                </c:pt>
                <c:pt idx="43" formatCode="General">
                  <c:v>3459</c:v>
                </c:pt>
                <c:pt idx="44">
                  <c:v>3466.5</c:v>
                </c:pt>
                <c:pt idx="45">
                  <c:v>3474.08</c:v>
                </c:pt>
                <c:pt idx="46">
                  <c:v>3479</c:v>
                </c:pt>
                <c:pt idx="47">
                  <c:v>3491.5</c:v>
                </c:pt>
                <c:pt idx="48">
                  <c:v>3503.02</c:v>
                </c:pt>
                <c:pt idx="49" formatCode="General">
                  <c:v>3504</c:v>
                </c:pt>
                <c:pt idx="50" formatCode="General">
                  <c:v>3516.5</c:v>
                </c:pt>
                <c:pt idx="51">
                  <c:v>3529</c:v>
                </c:pt>
                <c:pt idx="52">
                  <c:v>3532.14</c:v>
                </c:pt>
                <c:pt idx="53" formatCode="General">
                  <c:v>3541.5</c:v>
                </c:pt>
                <c:pt idx="54" formatCode="General">
                  <c:v>3554</c:v>
                </c:pt>
                <c:pt idx="55">
                  <c:v>3559</c:v>
                </c:pt>
                <c:pt idx="56">
                  <c:v>3561.06</c:v>
                </c:pt>
                <c:pt idx="57" formatCode="General">
                  <c:v>3566.5</c:v>
                </c:pt>
                <c:pt idx="58" formatCode="General">
                  <c:v>3579</c:v>
                </c:pt>
                <c:pt idx="59">
                  <c:v>3590.09</c:v>
                </c:pt>
                <c:pt idx="60" formatCode="General">
                  <c:v>3591.5</c:v>
                </c:pt>
                <c:pt idx="61">
                  <c:v>3604</c:v>
                </c:pt>
                <c:pt idx="62" formatCode="General">
                  <c:v>3616.5</c:v>
                </c:pt>
                <c:pt idx="63">
                  <c:v>3619.2</c:v>
                </c:pt>
                <c:pt idx="64" formatCode="General">
                  <c:v>3629</c:v>
                </c:pt>
                <c:pt idx="65" formatCode="General">
                  <c:v>3641.5</c:v>
                </c:pt>
                <c:pt idx="66">
                  <c:v>3648.08</c:v>
                </c:pt>
                <c:pt idx="67">
                  <c:v>3654</c:v>
                </c:pt>
                <c:pt idx="68" formatCode="General">
                  <c:v>3659</c:v>
                </c:pt>
                <c:pt idx="69" formatCode="General">
                  <c:v>3666.5</c:v>
                </c:pt>
                <c:pt idx="70">
                  <c:v>3677.05</c:v>
                </c:pt>
                <c:pt idx="71">
                  <c:v>3679</c:v>
                </c:pt>
                <c:pt idx="72" formatCode="General">
                  <c:v>3691.5</c:v>
                </c:pt>
                <c:pt idx="73" formatCode="General">
                  <c:v>3704</c:v>
                </c:pt>
                <c:pt idx="74">
                  <c:v>3706.03</c:v>
                </c:pt>
                <c:pt idx="75" formatCode="General">
                  <c:v>3709</c:v>
                </c:pt>
                <c:pt idx="76">
                  <c:v>3728.95</c:v>
                </c:pt>
                <c:pt idx="77">
                  <c:v>3758.4</c:v>
                </c:pt>
                <c:pt idx="78">
                  <c:v>3787.61</c:v>
                </c:pt>
                <c:pt idx="79">
                  <c:v>3816.51</c:v>
                </c:pt>
                <c:pt idx="80">
                  <c:v>3845.51</c:v>
                </c:pt>
                <c:pt idx="81">
                  <c:v>3862.9</c:v>
                </c:pt>
                <c:pt idx="82" formatCode="General">
                  <c:v>3870.4</c:v>
                </c:pt>
                <c:pt idx="83">
                  <c:v>3874.44</c:v>
                </c:pt>
                <c:pt idx="84" formatCode="General">
                  <c:v>3882.9</c:v>
                </c:pt>
                <c:pt idx="85">
                  <c:v>3895.4</c:v>
                </c:pt>
                <c:pt idx="86">
                  <c:v>3903.64</c:v>
                </c:pt>
                <c:pt idx="87" formatCode="General">
                  <c:v>3907.9</c:v>
                </c:pt>
                <c:pt idx="88" formatCode="General">
                  <c:v>3912.9</c:v>
                </c:pt>
                <c:pt idx="89" formatCode="General">
                  <c:v>3920.4</c:v>
                </c:pt>
                <c:pt idx="90">
                  <c:v>3932.38</c:v>
                </c:pt>
                <c:pt idx="91">
                  <c:v>3932.9</c:v>
                </c:pt>
                <c:pt idx="92" formatCode="General">
                  <c:v>3945.4</c:v>
                </c:pt>
                <c:pt idx="93" formatCode="General">
                  <c:v>3957.9</c:v>
                </c:pt>
                <c:pt idx="94">
                  <c:v>3961.19</c:v>
                </c:pt>
                <c:pt idx="95">
                  <c:v>3962.9</c:v>
                </c:pt>
                <c:pt idx="96" formatCode="General">
                  <c:v>3970.4</c:v>
                </c:pt>
                <c:pt idx="97" formatCode="General">
                  <c:v>3982.9</c:v>
                </c:pt>
                <c:pt idx="98">
                  <c:v>3990.21</c:v>
                </c:pt>
                <c:pt idx="99" formatCode="General">
                  <c:v>3995.4</c:v>
                </c:pt>
                <c:pt idx="100">
                  <c:v>4007.9</c:v>
                </c:pt>
                <c:pt idx="101" formatCode="General">
                  <c:v>4012.9</c:v>
                </c:pt>
                <c:pt idx="102">
                  <c:v>4019.24</c:v>
                </c:pt>
                <c:pt idx="103" formatCode="General">
                  <c:v>4020.4</c:v>
                </c:pt>
                <c:pt idx="104">
                  <c:v>4032.9</c:v>
                </c:pt>
                <c:pt idx="105" formatCode="General">
                  <c:v>4045.4</c:v>
                </c:pt>
                <c:pt idx="106">
                  <c:v>4048.23</c:v>
                </c:pt>
                <c:pt idx="107" formatCode="General">
                  <c:v>4057.9</c:v>
                </c:pt>
                <c:pt idx="108" formatCode="General">
                  <c:v>4062.9</c:v>
                </c:pt>
                <c:pt idx="109">
                  <c:v>4070.4</c:v>
                </c:pt>
                <c:pt idx="110">
                  <c:v>4077.24</c:v>
                </c:pt>
                <c:pt idx="111" formatCode="General">
                  <c:v>4082.9</c:v>
                </c:pt>
                <c:pt idx="112" formatCode="General">
                  <c:v>4095.4</c:v>
                </c:pt>
                <c:pt idx="113">
                  <c:v>4106.13</c:v>
                </c:pt>
                <c:pt idx="114" formatCode="General">
                  <c:v>4107.8999999999996</c:v>
                </c:pt>
                <c:pt idx="115">
                  <c:v>4112.8999999999996</c:v>
                </c:pt>
                <c:pt idx="116">
                  <c:v>4135.3</c:v>
                </c:pt>
                <c:pt idx="117">
                  <c:v>4164.16</c:v>
                </c:pt>
                <c:pt idx="118">
                  <c:v>4193.21</c:v>
                </c:pt>
                <c:pt idx="119" formatCode="General">
                  <c:v>4208.3</c:v>
                </c:pt>
                <c:pt idx="120" formatCode="General">
                  <c:v>4215.8</c:v>
                </c:pt>
                <c:pt idx="121">
                  <c:v>4221.84</c:v>
                </c:pt>
                <c:pt idx="122">
                  <c:v>4228.3</c:v>
                </c:pt>
                <c:pt idx="123" formatCode="General">
                  <c:v>4240.8</c:v>
                </c:pt>
                <c:pt idx="124">
                  <c:v>4250.54</c:v>
                </c:pt>
                <c:pt idx="125" formatCode="General">
                  <c:v>4253.3</c:v>
                </c:pt>
                <c:pt idx="126">
                  <c:v>4265.8</c:v>
                </c:pt>
                <c:pt idx="127" formatCode="General">
                  <c:v>4278.3</c:v>
                </c:pt>
                <c:pt idx="128">
                  <c:v>4279.54</c:v>
                </c:pt>
                <c:pt idx="129" formatCode="General">
                  <c:v>4290.8</c:v>
                </c:pt>
                <c:pt idx="130" formatCode="General">
                  <c:v>4303.3</c:v>
                </c:pt>
                <c:pt idx="131">
                  <c:v>4308.3</c:v>
                </c:pt>
                <c:pt idx="132">
                  <c:v>4308.3900000000003</c:v>
                </c:pt>
                <c:pt idx="133" formatCode="General">
                  <c:v>4315.8</c:v>
                </c:pt>
                <c:pt idx="134" formatCode="General">
                  <c:v>4328.3</c:v>
                </c:pt>
                <c:pt idx="135">
                  <c:v>4337.3</c:v>
                </c:pt>
                <c:pt idx="136" formatCode="General">
                  <c:v>4340.8</c:v>
                </c:pt>
                <c:pt idx="137">
                  <c:v>4353.3</c:v>
                </c:pt>
                <c:pt idx="138" formatCode="General">
                  <c:v>4365.8</c:v>
                </c:pt>
                <c:pt idx="139">
                  <c:v>4366.2</c:v>
                </c:pt>
                <c:pt idx="140" formatCode="General">
                  <c:v>4378.3</c:v>
                </c:pt>
                <c:pt idx="141">
                  <c:v>4390.8</c:v>
                </c:pt>
                <c:pt idx="142">
                  <c:v>4395.0600000000004</c:v>
                </c:pt>
                <c:pt idx="143" formatCode="General">
                  <c:v>4403.3</c:v>
                </c:pt>
                <c:pt idx="144" formatCode="General">
                  <c:v>4408.3</c:v>
                </c:pt>
                <c:pt idx="145">
                  <c:v>4415.8</c:v>
                </c:pt>
                <c:pt idx="146">
                  <c:v>4422.55</c:v>
                </c:pt>
                <c:pt idx="147">
                  <c:v>4428.3</c:v>
                </c:pt>
                <c:pt idx="148">
                  <c:v>4440.8</c:v>
                </c:pt>
                <c:pt idx="149">
                  <c:v>4450.58</c:v>
                </c:pt>
                <c:pt idx="150">
                  <c:v>4453.3</c:v>
                </c:pt>
                <c:pt idx="151" formatCode="General">
                  <c:v>4465.8</c:v>
                </c:pt>
                <c:pt idx="152">
                  <c:v>4478.3</c:v>
                </c:pt>
                <c:pt idx="153">
                  <c:v>4479.54</c:v>
                </c:pt>
                <c:pt idx="154" formatCode="General">
                  <c:v>4490.8</c:v>
                </c:pt>
                <c:pt idx="155" formatCode="General">
                  <c:v>4503.3</c:v>
                </c:pt>
                <c:pt idx="156">
                  <c:v>4508.28</c:v>
                </c:pt>
                <c:pt idx="157">
                  <c:v>4508.3</c:v>
                </c:pt>
                <c:pt idx="158" formatCode="General">
                  <c:v>4515.8</c:v>
                </c:pt>
                <c:pt idx="159" formatCode="General">
                  <c:v>4528.3</c:v>
                </c:pt>
                <c:pt idx="160">
                  <c:v>4537.1400000000003</c:v>
                </c:pt>
                <c:pt idx="161" formatCode="General">
                  <c:v>4540.8</c:v>
                </c:pt>
                <c:pt idx="162">
                  <c:v>4553.3</c:v>
                </c:pt>
                <c:pt idx="163" formatCode="General">
                  <c:v>4565.8</c:v>
                </c:pt>
                <c:pt idx="164">
                  <c:v>4565.9399999999996</c:v>
                </c:pt>
                <c:pt idx="165" formatCode="General">
                  <c:v>4578.3</c:v>
                </c:pt>
                <c:pt idx="166">
                  <c:v>4590.8</c:v>
                </c:pt>
                <c:pt idx="167">
                  <c:v>4595.1499999999996</c:v>
                </c:pt>
                <c:pt idx="168" formatCode="General">
                  <c:v>4603.3</c:v>
                </c:pt>
                <c:pt idx="169" formatCode="General">
                  <c:v>4608.3</c:v>
                </c:pt>
                <c:pt idx="170">
                  <c:v>4624.01</c:v>
                </c:pt>
                <c:pt idx="171" formatCode="General">
                  <c:v>4624.3</c:v>
                </c:pt>
                <c:pt idx="172">
                  <c:v>4631.8</c:v>
                </c:pt>
                <c:pt idx="173" formatCode="General">
                  <c:v>4644.3</c:v>
                </c:pt>
                <c:pt idx="174">
                  <c:v>4652.8999999999996</c:v>
                </c:pt>
                <c:pt idx="175" formatCode="General">
                  <c:v>4656.8</c:v>
                </c:pt>
                <c:pt idx="176" formatCode="General">
                  <c:v>4669.3</c:v>
                </c:pt>
                <c:pt idx="177">
                  <c:v>4681.8</c:v>
                </c:pt>
                <c:pt idx="178">
                  <c:v>4681.88</c:v>
                </c:pt>
                <c:pt idx="179" formatCode="General">
                  <c:v>4694.3</c:v>
                </c:pt>
                <c:pt idx="180" formatCode="General">
                  <c:v>4706.8</c:v>
                </c:pt>
                <c:pt idx="181">
                  <c:v>4710.72</c:v>
                </c:pt>
                <c:pt idx="182">
                  <c:v>4719.3</c:v>
                </c:pt>
                <c:pt idx="183" formatCode="General">
                  <c:v>4724.3</c:v>
                </c:pt>
                <c:pt idx="184">
                  <c:v>4739.87</c:v>
                </c:pt>
                <c:pt idx="185">
                  <c:v>4768.9799999999996</c:v>
                </c:pt>
                <c:pt idx="186">
                  <c:v>4797.76</c:v>
                </c:pt>
                <c:pt idx="187">
                  <c:v>4826.84</c:v>
                </c:pt>
                <c:pt idx="188" formatCode="General">
                  <c:v>4854.8999999999996</c:v>
                </c:pt>
                <c:pt idx="189">
                  <c:v>4855.8500000000004</c:v>
                </c:pt>
                <c:pt idx="190" formatCode="General">
                  <c:v>4862.3999999999996</c:v>
                </c:pt>
                <c:pt idx="191">
                  <c:v>4874.8999999999996</c:v>
                </c:pt>
                <c:pt idx="192">
                  <c:v>4885.0200000000004</c:v>
                </c:pt>
                <c:pt idx="193" formatCode="General">
                  <c:v>4887.3999999999996</c:v>
                </c:pt>
                <c:pt idx="194" formatCode="General">
                  <c:v>4899.8999999999996</c:v>
                </c:pt>
                <c:pt idx="195">
                  <c:v>4912.3999999999996</c:v>
                </c:pt>
                <c:pt idx="196">
                  <c:v>4913.55</c:v>
                </c:pt>
                <c:pt idx="197" formatCode="General">
                  <c:v>4924.8999999999996</c:v>
                </c:pt>
                <c:pt idx="198" formatCode="General">
                  <c:v>4937.3999999999996</c:v>
                </c:pt>
                <c:pt idx="199">
                  <c:v>4942.6400000000003</c:v>
                </c:pt>
                <c:pt idx="200" formatCode="General">
                  <c:v>4949.8999999999996</c:v>
                </c:pt>
                <c:pt idx="201">
                  <c:v>4954.8999999999996</c:v>
                </c:pt>
                <c:pt idx="202">
                  <c:v>4962.3999999999996</c:v>
                </c:pt>
                <c:pt idx="203">
                  <c:v>4971.1099999999997</c:v>
                </c:pt>
                <c:pt idx="204">
                  <c:v>4974.8999999999996</c:v>
                </c:pt>
                <c:pt idx="205">
                  <c:v>4987.3999999999996</c:v>
                </c:pt>
                <c:pt idx="206">
                  <c:v>4999.8999999999996</c:v>
                </c:pt>
                <c:pt idx="207">
                  <c:v>5000.5200000000004</c:v>
                </c:pt>
                <c:pt idx="208" formatCode="General">
                  <c:v>5012.3999999999996</c:v>
                </c:pt>
                <c:pt idx="209" formatCode="General">
                  <c:v>5024.8999999999996</c:v>
                </c:pt>
                <c:pt idx="210">
                  <c:v>5029.5200000000004</c:v>
                </c:pt>
                <c:pt idx="211">
                  <c:v>5037.3999999999996</c:v>
                </c:pt>
                <c:pt idx="212" formatCode="General">
                  <c:v>5049.8999999999996</c:v>
                </c:pt>
                <c:pt idx="213" formatCode="General">
                  <c:v>5054.8999999999996</c:v>
                </c:pt>
                <c:pt idx="214">
                  <c:v>5057.6499999999996</c:v>
                </c:pt>
                <c:pt idx="215" formatCode="General">
                  <c:v>5062.3999999999996</c:v>
                </c:pt>
                <c:pt idx="216">
                  <c:v>5074.8999999999996</c:v>
                </c:pt>
                <c:pt idx="217">
                  <c:v>5085.29</c:v>
                </c:pt>
                <c:pt idx="218" formatCode="General">
                  <c:v>5087.3999999999996</c:v>
                </c:pt>
                <c:pt idx="219" formatCode="General">
                  <c:v>5099.8999999999996</c:v>
                </c:pt>
                <c:pt idx="220" formatCode="General">
                  <c:v>5104.8999999999996</c:v>
                </c:pt>
                <c:pt idx="221">
                  <c:v>5114.55</c:v>
                </c:pt>
                <c:pt idx="222">
                  <c:v>5143.82</c:v>
                </c:pt>
                <c:pt idx="223">
                  <c:v>5172.68</c:v>
                </c:pt>
                <c:pt idx="224">
                  <c:v>5201.7</c:v>
                </c:pt>
                <c:pt idx="225">
                  <c:v>5230.72</c:v>
                </c:pt>
                <c:pt idx="226">
                  <c:v>5241.3</c:v>
                </c:pt>
                <c:pt idx="227" formatCode="General">
                  <c:v>5248.8</c:v>
                </c:pt>
                <c:pt idx="228">
                  <c:v>5259.84</c:v>
                </c:pt>
                <c:pt idx="229" formatCode="General">
                  <c:v>5261.3</c:v>
                </c:pt>
                <c:pt idx="230">
                  <c:v>5273.8</c:v>
                </c:pt>
                <c:pt idx="231" formatCode="General">
                  <c:v>5286.3</c:v>
                </c:pt>
                <c:pt idx="232">
                  <c:v>5289.38</c:v>
                </c:pt>
                <c:pt idx="233">
                  <c:v>5291.3</c:v>
                </c:pt>
                <c:pt idx="234">
                  <c:v>5311.3</c:v>
                </c:pt>
                <c:pt idx="235" formatCode="General">
                  <c:v>5318.8</c:v>
                </c:pt>
                <c:pt idx="236">
                  <c:v>5318.84</c:v>
                </c:pt>
                <c:pt idx="237">
                  <c:v>5331.3</c:v>
                </c:pt>
                <c:pt idx="238" formatCode="General">
                  <c:v>5343.8</c:v>
                </c:pt>
                <c:pt idx="239">
                  <c:v>5348.37</c:v>
                </c:pt>
                <c:pt idx="240">
                  <c:v>5356.3</c:v>
                </c:pt>
                <c:pt idx="241">
                  <c:v>5377.69</c:v>
                </c:pt>
                <c:pt idx="242">
                  <c:v>5406.98</c:v>
                </c:pt>
                <c:pt idx="243">
                  <c:v>5428</c:v>
                </c:pt>
                <c:pt idx="244">
                  <c:v>5436.05</c:v>
                </c:pt>
                <c:pt idx="245">
                  <c:v>5438.8</c:v>
                </c:pt>
                <c:pt idx="246">
                  <c:v>5465.05</c:v>
                </c:pt>
                <c:pt idx="247">
                  <c:v>5493.82</c:v>
                </c:pt>
                <c:pt idx="248">
                  <c:v>5501.88</c:v>
                </c:pt>
              </c:numCache>
            </c:numRef>
          </c:xVal>
          <c:yVal>
            <c:numRef>
              <c:f>'LCa-3159 '!$U$115:$U$364</c:f>
              <c:numCache>
                <c:formatCode>0.00</c:formatCode>
                <c:ptCount val="250"/>
                <c:pt idx="0">
                  <c:v>2770.24</c:v>
                </c:pt>
                <c:pt idx="3">
                  <c:v>2770.29</c:v>
                </c:pt>
                <c:pt idx="7">
                  <c:v>2770.65</c:v>
                </c:pt>
                <c:pt idx="9">
                  <c:v>2771.05</c:v>
                </c:pt>
                <c:pt idx="10">
                  <c:v>2771.45</c:v>
                </c:pt>
                <c:pt idx="11">
                  <c:v>2771.75</c:v>
                </c:pt>
                <c:pt idx="12">
                  <c:v>2772.03</c:v>
                </c:pt>
                <c:pt idx="13">
                  <c:v>2772.43</c:v>
                </c:pt>
                <c:pt idx="14">
                  <c:v>2772.84</c:v>
                </c:pt>
                <c:pt idx="17">
                  <c:v>2773.24</c:v>
                </c:pt>
                <c:pt idx="20">
                  <c:v>2773.65</c:v>
                </c:pt>
                <c:pt idx="23">
                  <c:v>2774.05</c:v>
                </c:pt>
                <c:pt idx="27">
                  <c:v>2774.45</c:v>
                </c:pt>
                <c:pt idx="31">
                  <c:v>2774.86</c:v>
                </c:pt>
                <c:pt idx="34">
                  <c:v>2775.26</c:v>
                </c:pt>
                <c:pt idx="37">
                  <c:v>2775.66</c:v>
                </c:pt>
                <c:pt idx="41">
                  <c:v>2776.07</c:v>
                </c:pt>
                <c:pt idx="42">
                  <c:v>2775.99</c:v>
                </c:pt>
                <c:pt idx="45">
                  <c:v>2775.67</c:v>
                </c:pt>
                <c:pt idx="48">
                  <c:v>2775.85</c:v>
                </c:pt>
                <c:pt idx="52">
                  <c:v>2776.02</c:v>
                </c:pt>
                <c:pt idx="56">
                  <c:v>2776.31</c:v>
                </c:pt>
                <c:pt idx="59">
                  <c:v>2776.81</c:v>
                </c:pt>
                <c:pt idx="63">
                  <c:v>2777.31</c:v>
                </c:pt>
                <c:pt idx="66">
                  <c:v>2777.71</c:v>
                </c:pt>
                <c:pt idx="70">
                  <c:v>2778.11</c:v>
                </c:pt>
                <c:pt idx="74">
                  <c:v>2778.51</c:v>
                </c:pt>
                <c:pt idx="76">
                  <c:v>2778.82</c:v>
                </c:pt>
                <c:pt idx="77">
                  <c:v>2779.23</c:v>
                </c:pt>
                <c:pt idx="78">
                  <c:v>2779.63</c:v>
                </c:pt>
                <c:pt idx="79">
                  <c:v>2779.99</c:v>
                </c:pt>
                <c:pt idx="80">
                  <c:v>2780.04</c:v>
                </c:pt>
                <c:pt idx="83">
                  <c:v>2780.09</c:v>
                </c:pt>
                <c:pt idx="86">
                  <c:v>2780.45</c:v>
                </c:pt>
                <c:pt idx="90">
                  <c:v>2780.85</c:v>
                </c:pt>
                <c:pt idx="94">
                  <c:v>2781.25</c:v>
                </c:pt>
                <c:pt idx="98">
                  <c:v>2781.66</c:v>
                </c:pt>
                <c:pt idx="102">
                  <c:v>2782.07</c:v>
                </c:pt>
                <c:pt idx="106">
                  <c:v>2782.48</c:v>
                </c:pt>
                <c:pt idx="110">
                  <c:v>2782.88</c:v>
                </c:pt>
                <c:pt idx="113">
                  <c:v>2783.29</c:v>
                </c:pt>
                <c:pt idx="116">
                  <c:v>2783.7</c:v>
                </c:pt>
                <c:pt idx="117">
                  <c:v>2784.1</c:v>
                </c:pt>
                <c:pt idx="118">
                  <c:v>2784.21</c:v>
                </c:pt>
                <c:pt idx="121">
                  <c:v>2783.97</c:v>
                </c:pt>
                <c:pt idx="124">
                  <c:v>2783.73</c:v>
                </c:pt>
                <c:pt idx="128">
                  <c:v>2783.49</c:v>
                </c:pt>
                <c:pt idx="132">
                  <c:v>2783.38</c:v>
                </c:pt>
                <c:pt idx="135">
                  <c:v>2783.31</c:v>
                </c:pt>
                <c:pt idx="139">
                  <c:v>2783.24</c:v>
                </c:pt>
                <c:pt idx="142">
                  <c:v>2783.29</c:v>
                </c:pt>
                <c:pt idx="146">
                  <c:v>2783.34</c:v>
                </c:pt>
                <c:pt idx="149">
                  <c:v>2783.35</c:v>
                </c:pt>
                <c:pt idx="153">
                  <c:v>2783.11</c:v>
                </c:pt>
                <c:pt idx="156">
                  <c:v>2782.88</c:v>
                </c:pt>
                <c:pt idx="160">
                  <c:v>2782.66</c:v>
                </c:pt>
                <c:pt idx="164">
                  <c:v>2782.45</c:v>
                </c:pt>
                <c:pt idx="167">
                  <c:v>2782.23</c:v>
                </c:pt>
                <c:pt idx="170">
                  <c:v>2782.13</c:v>
                </c:pt>
                <c:pt idx="174">
                  <c:v>2782.09</c:v>
                </c:pt>
                <c:pt idx="178">
                  <c:v>2782.05</c:v>
                </c:pt>
                <c:pt idx="181">
                  <c:v>2782</c:v>
                </c:pt>
                <c:pt idx="184">
                  <c:v>2781.81</c:v>
                </c:pt>
                <c:pt idx="185">
                  <c:v>2781.43</c:v>
                </c:pt>
                <c:pt idx="186">
                  <c:v>2781.36</c:v>
                </c:pt>
                <c:pt idx="187">
                  <c:v>2781.56</c:v>
                </c:pt>
                <c:pt idx="189">
                  <c:v>2781.76</c:v>
                </c:pt>
                <c:pt idx="192">
                  <c:v>2781.93</c:v>
                </c:pt>
                <c:pt idx="196">
                  <c:v>2782.07</c:v>
                </c:pt>
                <c:pt idx="199">
                  <c:v>2781.99</c:v>
                </c:pt>
                <c:pt idx="203">
                  <c:v>2781.71</c:v>
                </c:pt>
                <c:pt idx="207">
                  <c:v>2781.42</c:v>
                </c:pt>
                <c:pt idx="210">
                  <c:v>2781.14</c:v>
                </c:pt>
                <c:pt idx="214">
                  <c:v>2781.06</c:v>
                </c:pt>
                <c:pt idx="217">
                  <c:v>2781.01</c:v>
                </c:pt>
                <c:pt idx="221">
                  <c:v>2780.97</c:v>
                </c:pt>
                <c:pt idx="222">
                  <c:v>2780.85</c:v>
                </c:pt>
                <c:pt idx="223">
                  <c:v>2780.64</c:v>
                </c:pt>
                <c:pt idx="224">
                  <c:v>2780.42</c:v>
                </c:pt>
                <c:pt idx="225">
                  <c:v>2779.89</c:v>
                </c:pt>
                <c:pt idx="228">
                  <c:v>2779.23</c:v>
                </c:pt>
                <c:pt idx="232">
                  <c:v>2778.59</c:v>
                </c:pt>
                <c:pt idx="236">
                  <c:v>2777.99</c:v>
                </c:pt>
                <c:pt idx="239">
                  <c:v>2777.88</c:v>
                </c:pt>
                <c:pt idx="241">
                  <c:v>2778.08</c:v>
                </c:pt>
                <c:pt idx="242">
                  <c:v>2778.28</c:v>
                </c:pt>
                <c:pt idx="244">
                  <c:v>2778.49</c:v>
                </c:pt>
                <c:pt idx="246">
                  <c:v>2778.69</c:v>
                </c:pt>
                <c:pt idx="247">
                  <c:v>2778.89</c:v>
                </c:pt>
                <c:pt idx="248">
                  <c:v>2778.94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2A-C74C-BB14-AE9D08CFA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617103"/>
        <c:axId val="1127327791"/>
      </c:scatterChart>
      <c:scatterChart>
        <c:scatterStyle val="lineMarker"/>
        <c:varyColors val="0"/>
        <c:ser>
          <c:idx val="2"/>
          <c:order val="2"/>
          <c:tx>
            <c:v>Bottom marker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'LCa-3159 '!$A$118:$A$363</c:f>
              <c:numCache>
                <c:formatCode>General</c:formatCode>
                <c:ptCount val="246"/>
                <c:pt idx="0" formatCode="0.00">
                  <c:v>2997.28</c:v>
                </c:pt>
                <c:pt idx="1">
                  <c:v>2997.7</c:v>
                </c:pt>
                <c:pt idx="2">
                  <c:v>3010.2</c:v>
                </c:pt>
                <c:pt idx="3" formatCode="0.00">
                  <c:v>3022.7</c:v>
                </c:pt>
                <c:pt idx="4" formatCode="0.00">
                  <c:v>3026.48</c:v>
                </c:pt>
                <c:pt idx="5">
                  <c:v>3027.7</c:v>
                </c:pt>
                <c:pt idx="6" formatCode="0.00">
                  <c:v>3055.7</c:v>
                </c:pt>
                <c:pt idx="7" formatCode="0.00">
                  <c:v>3084.97</c:v>
                </c:pt>
                <c:pt idx="8" formatCode="0.00">
                  <c:v>3107.03</c:v>
                </c:pt>
                <c:pt idx="9" formatCode="0.00">
                  <c:v>3126.76</c:v>
                </c:pt>
                <c:pt idx="10" formatCode="0.00">
                  <c:v>3154.93</c:v>
                </c:pt>
                <c:pt idx="11" formatCode="0.00">
                  <c:v>3184.21</c:v>
                </c:pt>
                <c:pt idx="12">
                  <c:v>3205</c:v>
                </c:pt>
                <c:pt idx="13">
                  <c:v>3212.5</c:v>
                </c:pt>
                <c:pt idx="14" formatCode="0.00">
                  <c:v>3213.31</c:v>
                </c:pt>
                <c:pt idx="15" formatCode="0.00">
                  <c:v>3225</c:v>
                </c:pt>
                <c:pt idx="16">
                  <c:v>3237.5</c:v>
                </c:pt>
                <c:pt idx="17" formatCode="0.00">
                  <c:v>3242.25</c:v>
                </c:pt>
                <c:pt idx="18">
                  <c:v>3250</c:v>
                </c:pt>
                <c:pt idx="19">
                  <c:v>3262.5</c:v>
                </c:pt>
                <c:pt idx="20" formatCode="0.00">
                  <c:v>3271.08</c:v>
                </c:pt>
                <c:pt idx="21" formatCode="0.00">
                  <c:v>3275</c:v>
                </c:pt>
                <c:pt idx="22">
                  <c:v>3287.5</c:v>
                </c:pt>
                <c:pt idx="23">
                  <c:v>3300</c:v>
                </c:pt>
                <c:pt idx="24" formatCode="0.00">
                  <c:v>3300.2</c:v>
                </c:pt>
                <c:pt idx="25">
                  <c:v>3305</c:v>
                </c:pt>
                <c:pt idx="26" formatCode="0.00">
                  <c:v>3312.5</c:v>
                </c:pt>
                <c:pt idx="27">
                  <c:v>3325</c:v>
                </c:pt>
                <c:pt idx="28" formatCode="0.00">
                  <c:v>3329.22</c:v>
                </c:pt>
                <c:pt idx="29">
                  <c:v>3337.5</c:v>
                </c:pt>
                <c:pt idx="30">
                  <c:v>3350</c:v>
                </c:pt>
                <c:pt idx="31" formatCode="0.00">
                  <c:v>3358.12</c:v>
                </c:pt>
                <c:pt idx="32" formatCode="0.00">
                  <c:v>3362.5</c:v>
                </c:pt>
                <c:pt idx="33">
                  <c:v>3375</c:v>
                </c:pt>
                <c:pt idx="34" formatCode="0.00">
                  <c:v>3387.09</c:v>
                </c:pt>
                <c:pt idx="35">
                  <c:v>3387.5</c:v>
                </c:pt>
                <c:pt idx="36" formatCode="0.00">
                  <c:v>3400</c:v>
                </c:pt>
                <c:pt idx="37">
                  <c:v>3405</c:v>
                </c:pt>
                <c:pt idx="38" formatCode="0.00">
                  <c:v>3416.2</c:v>
                </c:pt>
                <c:pt idx="39" formatCode="0.00">
                  <c:v>3444.81</c:v>
                </c:pt>
                <c:pt idx="40">
                  <c:v>3459</c:v>
                </c:pt>
                <c:pt idx="41" formatCode="0.00">
                  <c:v>3466.5</c:v>
                </c:pt>
                <c:pt idx="42" formatCode="0.00">
                  <c:v>3474.08</c:v>
                </c:pt>
                <c:pt idx="43" formatCode="0.00">
                  <c:v>3479</c:v>
                </c:pt>
                <c:pt idx="44" formatCode="0.00">
                  <c:v>3491.5</c:v>
                </c:pt>
                <c:pt idx="45" formatCode="0.00">
                  <c:v>3503.02</c:v>
                </c:pt>
                <c:pt idx="46">
                  <c:v>3504</c:v>
                </c:pt>
                <c:pt idx="47">
                  <c:v>3516.5</c:v>
                </c:pt>
                <c:pt idx="48" formatCode="0.00">
                  <c:v>3529</c:v>
                </c:pt>
                <c:pt idx="49" formatCode="0.00">
                  <c:v>3532.14</c:v>
                </c:pt>
                <c:pt idx="50">
                  <c:v>3541.5</c:v>
                </c:pt>
                <c:pt idx="51">
                  <c:v>3554</c:v>
                </c:pt>
                <c:pt idx="52" formatCode="0.00">
                  <c:v>3559</c:v>
                </c:pt>
                <c:pt idx="53" formatCode="0.00">
                  <c:v>3561.06</c:v>
                </c:pt>
                <c:pt idx="54">
                  <c:v>3566.5</c:v>
                </c:pt>
                <c:pt idx="55">
                  <c:v>3579</c:v>
                </c:pt>
                <c:pt idx="56" formatCode="0.00">
                  <c:v>3590.09</c:v>
                </c:pt>
                <c:pt idx="57">
                  <c:v>3591.5</c:v>
                </c:pt>
                <c:pt idx="58" formatCode="0.00">
                  <c:v>3604</c:v>
                </c:pt>
                <c:pt idx="59">
                  <c:v>3616.5</c:v>
                </c:pt>
                <c:pt idx="60" formatCode="0.00">
                  <c:v>3619.2</c:v>
                </c:pt>
                <c:pt idx="61">
                  <c:v>3629</c:v>
                </c:pt>
                <c:pt idx="62">
                  <c:v>3641.5</c:v>
                </c:pt>
                <c:pt idx="63" formatCode="0.00">
                  <c:v>3648.08</c:v>
                </c:pt>
                <c:pt idx="64" formatCode="0.00">
                  <c:v>3654</c:v>
                </c:pt>
                <c:pt idx="65">
                  <c:v>3659</c:v>
                </c:pt>
                <c:pt idx="66">
                  <c:v>3666.5</c:v>
                </c:pt>
                <c:pt idx="67" formatCode="0.00">
                  <c:v>3677.05</c:v>
                </c:pt>
                <c:pt idx="68" formatCode="0.00">
                  <c:v>3679</c:v>
                </c:pt>
                <c:pt idx="69">
                  <c:v>3691.5</c:v>
                </c:pt>
                <c:pt idx="70">
                  <c:v>3704</c:v>
                </c:pt>
                <c:pt idx="71" formatCode="0.00">
                  <c:v>3706.03</c:v>
                </c:pt>
                <c:pt idx="72">
                  <c:v>3709</c:v>
                </c:pt>
                <c:pt idx="73" formatCode="0.00">
                  <c:v>3728.95</c:v>
                </c:pt>
                <c:pt idx="74" formatCode="0.00">
                  <c:v>3758.4</c:v>
                </c:pt>
                <c:pt idx="75" formatCode="0.00">
                  <c:v>3787.61</c:v>
                </c:pt>
                <c:pt idx="76" formatCode="0.00">
                  <c:v>3816.51</c:v>
                </c:pt>
                <c:pt idx="77" formatCode="0.00">
                  <c:v>3845.51</c:v>
                </c:pt>
                <c:pt idx="78" formatCode="0.00">
                  <c:v>3862.9</c:v>
                </c:pt>
                <c:pt idx="79">
                  <c:v>3870.4</c:v>
                </c:pt>
                <c:pt idx="80" formatCode="0.00">
                  <c:v>3874.44</c:v>
                </c:pt>
                <c:pt idx="81">
                  <c:v>3882.9</c:v>
                </c:pt>
                <c:pt idx="82" formatCode="0.00">
                  <c:v>3895.4</c:v>
                </c:pt>
                <c:pt idx="83" formatCode="0.00">
                  <c:v>3903.64</c:v>
                </c:pt>
                <c:pt idx="84">
                  <c:v>3907.9</c:v>
                </c:pt>
                <c:pt idx="85">
                  <c:v>3912.9</c:v>
                </c:pt>
                <c:pt idx="86">
                  <c:v>3920.4</c:v>
                </c:pt>
                <c:pt idx="87" formatCode="0.00">
                  <c:v>3932.38</c:v>
                </c:pt>
                <c:pt idx="88" formatCode="0.00">
                  <c:v>3932.9</c:v>
                </c:pt>
                <c:pt idx="89">
                  <c:v>3945.4</c:v>
                </c:pt>
                <c:pt idx="90">
                  <c:v>3957.9</c:v>
                </c:pt>
                <c:pt idx="91" formatCode="0.00">
                  <c:v>3961.19</c:v>
                </c:pt>
                <c:pt idx="92" formatCode="0.00">
                  <c:v>3962.9</c:v>
                </c:pt>
                <c:pt idx="93">
                  <c:v>3970.4</c:v>
                </c:pt>
                <c:pt idx="94">
                  <c:v>3982.9</c:v>
                </c:pt>
                <c:pt idx="95" formatCode="0.00">
                  <c:v>3990.21</c:v>
                </c:pt>
                <c:pt idx="96">
                  <c:v>3995.4</c:v>
                </c:pt>
                <c:pt idx="97" formatCode="0.00">
                  <c:v>4007.9</c:v>
                </c:pt>
                <c:pt idx="98">
                  <c:v>4012.9</c:v>
                </c:pt>
                <c:pt idx="99" formatCode="0.00">
                  <c:v>4019.24</c:v>
                </c:pt>
                <c:pt idx="100">
                  <c:v>4020.4</c:v>
                </c:pt>
                <c:pt idx="101" formatCode="0.00">
                  <c:v>4032.9</c:v>
                </c:pt>
                <c:pt idx="102">
                  <c:v>4045.4</c:v>
                </c:pt>
                <c:pt idx="103" formatCode="0.00">
                  <c:v>4048.23</c:v>
                </c:pt>
                <c:pt idx="104">
                  <c:v>4057.9</c:v>
                </c:pt>
                <c:pt idx="105">
                  <c:v>4062.9</c:v>
                </c:pt>
                <c:pt idx="106" formatCode="0.00">
                  <c:v>4070.4</c:v>
                </c:pt>
                <c:pt idx="107" formatCode="0.00">
                  <c:v>4077.24</c:v>
                </c:pt>
                <c:pt idx="108">
                  <c:v>4082.9</c:v>
                </c:pt>
                <c:pt idx="109">
                  <c:v>4095.4</c:v>
                </c:pt>
                <c:pt idx="110" formatCode="0.00">
                  <c:v>4106.13</c:v>
                </c:pt>
                <c:pt idx="111">
                  <c:v>4107.8999999999996</c:v>
                </c:pt>
                <c:pt idx="112" formatCode="0.00">
                  <c:v>4112.8999999999996</c:v>
                </c:pt>
                <c:pt idx="113" formatCode="0.00">
                  <c:v>4135.3</c:v>
                </c:pt>
                <c:pt idx="114" formatCode="0.00">
                  <c:v>4164.16</c:v>
                </c:pt>
                <c:pt idx="115" formatCode="0.00">
                  <c:v>4193.21</c:v>
                </c:pt>
                <c:pt idx="116">
                  <c:v>4208.3</c:v>
                </c:pt>
                <c:pt idx="117">
                  <c:v>4215.8</c:v>
                </c:pt>
                <c:pt idx="118" formatCode="0.00">
                  <c:v>4221.84</c:v>
                </c:pt>
                <c:pt idx="119" formatCode="0.00">
                  <c:v>4228.3</c:v>
                </c:pt>
                <c:pt idx="120">
                  <c:v>4240.8</c:v>
                </c:pt>
                <c:pt idx="121" formatCode="0.00">
                  <c:v>4250.54</c:v>
                </c:pt>
                <c:pt idx="122">
                  <c:v>4253.3</c:v>
                </c:pt>
                <c:pt idx="123" formatCode="0.00">
                  <c:v>4265.8</c:v>
                </c:pt>
                <c:pt idx="124">
                  <c:v>4278.3</c:v>
                </c:pt>
                <c:pt idx="125" formatCode="0.00">
                  <c:v>4279.54</c:v>
                </c:pt>
                <c:pt idx="126">
                  <c:v>4290.8</c:v>
                </c:pt>
                <c:pt idx="127">
                  <c:v>4303.3</c:v>
                </c:pt>
                <c:pt idx="128" formatCode="0.00">
                  <c:v>4308.3</c:v>
                </c:pt>
                <c:pt idx="129" formatCode="0.00">
                  <c:v>4308.3900000000003</c:v>
                </c:pt>
                <c:pt idx="130">
                  <c:v>4315.8</c:v>
                </c:pt>
                <c:pt idx="131">
                  <c:v>4328.3</c:v>
                </c:pt>
                <c:pt idx="132" formatCode="0.00">
                  <c:v>4337.3</c:v>
                </c:pt>
                <c:pt idx="133">
                  <c:v>4340.8</c:v>
                </c:pt>
                <c:pt idx="134" formatCode="0.00">
                  <c:v>4353.3</c:v>
                </c:pt>
                <c:pt idx="135">
                  <c:v>4365.8</c:v>
                </c:pt>
                <c:pt idx="136" formatCode="0.00">
                  <c:v>4366.2</c:v>
                </c:pt>
                <c:pt idx="137">
                  <c:v>4378.3</c:v>
                </c:pt>
                <c:pt idx="138" formatCode="0.00">
                  <c:v>4390.8</c:v>
                </c:pt>
                <c:pt idx="139" formatCode="0.00">
                  <c:v>4395.0600000000004</c:v>
                </c:pt>
                <c:pt idx="140">
                  <c:v>4403.3</c:v>
                </c:pt>
                <c:pt idx="141">
                  <c:v>4408.3</c:v>
                </c:pt>
                <c:pt idx="142" formatCode="0.00">
                  <c:v>4415.8</c:v>
                </c:pt>
                <c:pt idx="143" formatCode="0.00">
                  <c:v>4422.55</c:v>
                </c:pt>
                <c:pt idx="144" formatCode="0.00">
                  <c:v>4428.3</c:v>
                </c:pt>
                <c:pt idx="145" formatCode="0.00">
                  <c:v>4440.8</c:v>
                </c:pt>
                <c:pt idx="146" formatCode="0.00">
                  <c:v>4450.58</c:v>
                </c:pt>
                <c:pt idx="147" formatCode="0.00">
                  <c:v>4453.3</c:v>
                </c:pt>
                <c:pt idx="148">
                  <c:v>4465.8</c:v>
                </c:pt>
                <c:pt idx="149" formatCode="0.00">
                  <c:v>4478.3</c:v>
                </c:pt>
                <c:pt idx="150" formatCode="0.00">
                  <c:v>4479.54</c:v>
                </c:pt>
                <c:pt idx="151">
                  <c:v>4490.8</c:v>
                </c:pt>
                <c:pt idx="152">
                  <c:v>4503.3</c:v>
                </c:pt>
                <c:pt idx="153" formatCode="0.00">
                  <c:v>4508.28</c:v>
                </c:pt>
                <c:pt idx="154" formatCode="0.00">
                  <c:v>4508.3</c:v>
                </c:pt>
                <c:pt idx="155">
                  <c:v>4515.8</c:v>
                </c:pt>
                <c:pt idx="156">
                  <c:v>4528.3</c:v>
                </c:pt>
                <c:pt idx="157" formatCode="0.00">
                  <c:v>4537.1400000000003</c:v>
                </c:pt>
                <c:pt idx="158">
                  <c:v>4540.8</c:v>
                </c:pt>
                <c:pt idx="159" formatCode="0.00">
                  <c:v>4553.3</c:v>
                </c:pt>
                <c:pt idx="160">
                  <c:v>4565.8</c:v>
                </c:pt>
                <c:pt idx="161" formatCode="0.00">
                  <c:v>4565.9399999999996</c:v>
                </c:pt>
                <c:pt idx="162">
                  <c:v>4578.3</c:v>
                </c:pt>
                <c:pt idx="163" formatCode="0.00">
                  <c:v>4590.8</c:v>
                </c:pt>
                <c:pt idx="164" formatCode="0.00">
                  <c:v>4595.1499999999996</c:v>
                </c:pt>
                <c:pt idx="165">
                  <c:v>4603.3</c:v>
                </c:pt>
                <c:pt idx="166">
                  <c:v>4608.3</c:v>
                </c:pt>
                <c:pt idx="167" formatCode="0.00">
                  <c:v>4624.01</c:v>
                </c:pt>
                <c:pt idx="168">
                  <c:v>4624.3</c:v>
                </c:pt>
                <c:pt idx="169" formatCode="0.00">
                  <c:v>4631.8</c:v>
                </c:pt>
                <c:pt idx="170">
                  <c:v>4644.3</c:v>
                </c:pt>
                <c:pt idx="171" formatCode="0.00">
                  <c:v>4652.8999999999996</c:v>
                </c:pt>
                <c:pt idx="172">
                  <c:v>4656.8</c:v>
                </c:pt>
                <c:pt idx="173">
                  <c:v>4669.3</c:v>
                </c:pt>
                <c:pt idx="174" formatCode="0.00">
                  <c:v>4681.8</c:v>
                </c:pt>
                <c:pt idx="175" formatCode="0.00">
                  <c:v>4681.88</c:v>
                </c:pt>
                <c:pt idx="176">
                  <c:v>4694.3</c:v>
                </c:pt>
                <c:pt idx="177">
                  <c:v>4706.8</c:v>
                </c:pt>
                <c:pt idx="178" formatCode="0.00">
                  <c:v>4710.72</c:v>
                </c:pt>
                <c:pt idx="179" formatCode="0.00">
                  <c:v>4719.3</c:v>
                </c:pt>
                <c:pt idx="180">
                  <c:v>4724.3</c:v>
                </c:pt>
                <c:pt idx="181" formatCode="0.00">
                  <c:v>4739.87</c:v>
                </c:pt>
                <c:pt idx="182" formatCode="0.00">
                  <c:v>4768.9799999999996</c:v>
                </c:pt>
                <c:pt idx="183" formatCode="0.00">
                  <c:v>4797.76</c:v>
                </c:pt>
                <c:pt idx="184" formatCode="0.00">
                  <c:v>4826.84</c:v>
                </c:pt>
                <c:pt idx="185">
                  <c:v>4854.8999999999996</c:v>
                </c:pt>
                <c:pt idx="186" formatCode="0.00">
                  <c:v>4855.8500000000004</c:v>
                </c:pt>
                <c:pt idx="187">
                  <c:v>4862.3999999999996</c:v>
                </c:pt>
                <c:pt idx="188" formatCode="0.00">
                  <c:v>4874.8999999999996</c:v>
                </c:pt>
                <c:pt idx="189" formatCode="0.00">
                  <c:v>4885.0200000000004</c:v>
                </c:pt>
                <c:pt idx="190">
                  <c:v>4887.3999999999996</c:v>
                </c:pt>
                <c:pt idx="191">
                  <c:v>4899.8999999999996</c:v>
                </c:pt>
                <c:pt idx="192" formatCode="0.00">
                  <c:v>4912.3999999999996</c:v>
                </c:pt>
                <c:pt idx="193" formatCode="0.00">
                  <c:v>4913.55</c:v>
                </c:pt>
                <c:pt idx="194">
                  <c:v>4924.8999999999996</c:v>
                </c:pt>
                <c:pt idx="195">
                  <c:v>4937.3999999999996</c:v>
                </c:pt>
                <c:pt idx="196" formatCode="0.00">
                  <c:v>4942.6400000000003</c:v>
                </c:pt>
                <c:pt idx="197">
                  <c:v>4949.8999999999996</c:v>
                </c:pt>
                <c:pt idx="198" formatCode="0.00">
                  <c:v>4954.8999999999996</c:v>
                </c:pt>
                <c:pt idx="199" formatCode="0.00">
                  <c:v>4962.3999999999996</c:v>
                </c:pt>
                <c:pt idx="200" formatCode="0.00">
                  <c:v>4971.1099999999997</c:v>
                </c:pt>
                <c:pt idx="201" formatCode="0.00">
                  <c:v>4974.8999999999996</c:v>
                </c:pt>
                <c:pt idx="202" formatCode="0.00">
                  <c:v>4987.3999999999996</c:v>
                </c:pt>
                <c:pt idx="203" formatCode="0.00">
                  <c:v>4999.8999999999996</c:v>
                </c:pt>
                <c:pt idx="204" formatCode="0.00">
                  <c:v>5000.5200000000004</c:v>
                </c:pt>
                <c:pt idx="205">
                  <c:v>5012.3999999999996</c:v>
                </c:pt>
                <c:pt idx="206">
                  <c:v>5024.8999999999996</c:v>
                </c:pt>
                <c:pt idx="207" formatCode="0.00">
                  <c:v>5029.5200000000004</c:v>
                </c:pt>
                <c:pt idx="208" formatCode="0.00">
                  <c:v>5037.3999999999996</c:v>
                </c:pt>
                <c:pt idx="209">
                  <c:v>5049.8999999999996</c:v>
                </c:pt>
                <c:pt idx="210">
                  <c:v>5054.8999999999996</c:v>
                </c:pt>
                <c:pt idx="211" formatCode="0.00">
                  <c:v>5057.6499999999996</c:v>
                </c:pt>
                <c:pt idx="212">
                  <c:v>5062.3999999999996</c:v>
                </c:pt>
                <c:pt idx="213" formatCode="0.00">
                  <c:v>5074.8999999999996</c:v>
                </c:pt>
                <c:pt idx="214" formatCode="0.00">
                  <c:v>5085.29</c:v>
                </c:pt>
                <c:pt idx="215">
                  <c:v>5087.3999999999996</c:v>
                </c:pt>
                <c:pt idx="216">
                  <c:v>5099.8999999999996</c:v>
                </c:pt>
                <c:pt idx="217">
                  <c:v>5104.8999999999996</c:v>
                </c:pt>
                <c:pt idx="218" formatCode="0.00">
                  <c:v>5114.55</c:v>
                </c:pt>
                <c:pt idx="219" formatCode="0.00">
                  <c:v>5143.82</c:v>
                </c:pt>
                <c:pt idx="220" formatCode="0.00">
                  <c:v>5172.68</c:v>
                </c:pt>
                <c:pt idx="221" formatCode="0.00">
                  <c:v>5201.7</c:v>
                </c:pt>
                <c:pt idx="222" formatCode="0.00">
                  <c:v>5230.72</c:v>
                </c:pt>
                <c:pt idx="223" formatCode="0.00">
                  <c:v>5241.3</c:v>
                </c:pt>
                <c:pt idx="224">
                  <c:v>5248.8</c:v>
                </c:pt>
                <c:pt idx="225" formatCode="0.00">
                  <c:v>5259.84</c:v>
                </c:pt>
                <c:pt idx="226">
                  <c:v>5261.3</c:v>
                </c:pt>
                <c:pt idx="227" formatCode="0.00">
                  <c:v>5273.8</c:v>
                </c:pt>
                <c:pt idx="228">
                  <c:v>5286.3</c:v>
                </c:pt>
                <c:pt idx="229" formatCode="0.00">
                  <c:v>5289.38</c:v>
                </c:pt>
                <c:pt idx="230" formatCode="0.00">
                  <c:v>5291.3</c:v>
                </c:pt>
                <c:pt idx="231" formatCode="0.00">
                  <c:v>5311.3</c:v>
                </c:pt>
                <c:pt idx="232">
                  <c:v>5318.8</c:v>
                </c:pt>
                <c:pt idx="233" formatCode="0.00">
                  <c:v>5318.84</c:v>
                </c:pt>
                <c:pt idx="234" formatCode="0.00">
                  <c:v>5331.3</c:v>
                </c:pt>
                <c:pt idx="235">
                  <c:v>5343.8</c:v>
                </c:pt>
                <c:pt idx="236" formatCode="0.00">
                  <c:v>5348.37</c:v>
                </c:pt>
                <c:pt idx="237" formatCode="0.00">
                  <c:v>5356.3</c:v>
                </c:pt>
                <c:pt idx="238" formatCode="0.00">
                  <c:v>5377.69</c:v>
                </c:pt>
                <c:pt idx="239" formatCode="0.00">
                  <c:v>5406.98</c:v>
                </c:pt>
                <c:pt idx="240" formatCode="0.00">
                  <c:v>5428</c:v>
                </c:pt>
                <c:pt idx="241" formatCode="0.00">
                  <c:v>5436.05</c:v>
                </c:pt>
                <c:pt idx="242" formatCode="0.00">
                  <c:v>5438.8</c:v>
                </c:pt>
                <c:pt idx="243" formatCode="0.00">
                  <c:v>5465.05</c:v>
                </c:pt>
                <c:pt idx="244" formatCode="0.00">
                  <c:v>5493.82</c:v>
                </c:pt>
                <c:pt idx="245" formatCode="0.00">
                  <c:v>5501.88</c:v>
                </c:pt>
              </c:numCache>
            </c:numRef>
          </c:xVal>
          <c:yVal>
            <c:numRef>
              <c:f>'LCa-3159 '!$S$118:$S$366</c:f>
              <c:numCache>
                <c:formatCode>0.00</c:formatCode>
                <c:ptCount val="248"/>
                <c:pt idx="0">
                  <c:v>2780.29</c:v>
                </c:pt>
                <c:pt idx="4">
                  <c:v>2780.65</c:v>
                </c:pt>
                <c:pt idx="6">
                  <c:v>2781.05</c:v>
                </c:pt>
                <c:pt idx="7">
                  <c:v>2781.45</c:v>
                </c:pt>
                <c:pt idx="8">
                  <c:v>2781.75</c:v>
                </c:pt>
                <c:pt idx="9">
                  <c:v>2782.03</c:v>
                </c:pt>
                <c:pt idx="10">
                  <c:v>2782.43</c:v>
                </c:pt>
                <c:pt idx="11">
                  <c:v>2782.84</c:v>
                </c:pt>
                <c:pt idx="14">
                  <c:v>2783.24</c:v>
                </c:pt>
                <c:pt idx="17">
                  <c:v>2783.65</c:v>
                </c:pt>
                <c:pt idx="20">
                  <c:v>2784.05</c:v>
                </c:pt>
                <c:pt idx="24">
                  <c:v>2784.45</c:v>
                </c:pt>
                <c:pt idx="28">
                  <c:v>2784.86</c:v>
                </c:pt>
                <c:pt idx="31">
                  <c:v>2785.26</c:v>
                </c:pt>
                <c:pt idx="34">
                  <c:v>2785.66</c:v>
                </c:pt>
                <c:pt idx="38">
                  <c:v>2786.07</c:v>
                </c:pt>
                <c:pt idx="39">
                  <c:v>2785.99</c:v>
                </c:pt>
                <c:pt idx="42">
                  <c:v>2785.67</c:v>
                </c:pt>
                <c:pt idx="45">
                  <c:v>2785.85</c:v>
                </c:pt>
                <c:pt idx="49">
                  <c:v>2786.02</c:v>
                </c:pt>
                <c:pt idx="53">
                  <c:v>2786.31</c:v>
                </c:pt>
                <c:pt idx="56">
                  <c:v>2786.81</c:v>
                </c:pt>
                <c:pt idx="60">
                  <c:v>2787.31</c:v>
                </c:pt>
                <c:pt idx="63">
                  <c:v>2787.71</c:v>
                </c:pt>
                <c:pt idx="67">
                  <c:v>2788.11</c:v>
                </c:pt>
                <c:pt idx="71">
                  <c:v>2788.51</c:v>
                </c:pt>
                <c:pt idx="73">
                  <c:v>2788.82</c:v>
                </c:pt>
                <c:pt idx="74">
                  <c:v>2789.23</c:v>
                </c:pt>
                <c:pt idx="75">
                  <c:v>2789.63</c:v>
                </c:pt>
                <c:pt idx="76">
                  <c:v>2789.99</c:v>
                </c:pt>
                <c:pt idx="77">
                  <c:v>2790.04</c:v>
                </c:pt>
                <c:pt idx="80">
                  <c:v>2790.09</c:v>
                </c:pt>
                <c:pt idx="83">
                  <c:v>2790.45</c:v>
                </c:pt>
                <c:pt idx="87">
                  <c:v>2790.85</c:v>
                </c:pt>
                <c:pt idx="91">
                  <c:v>2791.25</c:v>
                </c:pt>
                <c:pt idx="95">
                  <c:v>2791.66</c:v>
                </c:pt>
                <c:pt idx="99">
                  <c:v>2792.07</c:v>
                </c:pt>
                <c:pt idx="103">
                  <c:v>2792.48</c:v>
                </c:pt>
                <c:pt idx="107">
                  <c:v>2792.88</c:v>
                </c:pt>
                <c:pt idx="110">
                  <c:v>2793.29</c:v>
                </c:pt>
                <c:pt idx="113">
                  <c:v>2793.7</c:v>
                </c:pt>
                <c:pt idx="114">
                  <c:v>2794.1</c:v>
                </c:pt>
                <c:pt idx="115">
                  <c:v>2794.21</c:v>
                </c:pt>
                <c:pt idx="118">
                  <c:v>2793.97</c:v>
                </c:pt>
                <c:pt idx="121">
                  <c:v>2793.73</c:v>
                </c:pt>
                <c:pt idx="125">
                  <c:v>2793.49</c:v>
                </c:pt>
                <c:pt idx="129">
                  <c:v>2793.38</c:v>
                </c:pt>
                <c:pt idx="132">
                  <c:v>2793.31</c:v>
                </c:pt>
                <c:pt idx="136">
                  <c:v>2793.24</c:v>
                </c:pt>
                <c:pt idx="139">
                  <c:v>2793.29</c:v>
                </c:pt>
                <c:pt idx="143">
                  <c:v>2793.34</c:v>
                </c:pt>
                <c:pt idx="146">
                  <c:v>2793.35</c:v>
                </c:pt>
                <c:pt idx="150">
                  <c:v>2793.11</c:v>
                </c:pt>
                <c:pt idx="153">
                  <c:v>2792.88</c:v>
                </c:pt>
                <c:pt idx="157">
                  <c:v>2792.66</c:v>
                </c:pt>
                <c:pt idx="161">
                  <c:v>2792.45</c:v>
                </c:pt>
                <c:pt idx="164">
                  <c:v>2792.23</c:v>
                </c:pt>
                <c:pt idx="167">
                  <c:v>2792.13</c:v>
                </c:pt>
                <c:pt idx="171">
                  <c:v>2792.09</c:v>
                </c:pt>
                <c:pt idx="175">
                  <c:v>2792.05</c:v>
                </c:pt>
                <c:pt idx="178">
                  <c:v>2792</c:v>
                </c:pt>
                <c:pt idx="181">
                  <c:v>2791.81</c:v>
                </c:pt>
                <c:pt idx="182">
                  <c:v>2791.43</c:v>
                </c:pt>
                <c:pt idx="183">
                  <c:v>2791.36</c:v>
                </c:pt>
                <c:pt idx="184">
                  <c:v>2791.56</c:v>
                </c:pt>
                <c:pt idx="186">
                  <c:v>2791.76</c:v>
                </c:pt>
                <c:pt idx="189">
                  <c:v>2791.93</c:v>
                </c:pt>
                <c:pt idx="193">
                  <c:v>2792.07</c:v>
                </c:pt>
                <c:pt idx="196">
                  <c:v>2791.99</c:v>
                </c:pt>
                <c:pt idx="200">
                  <c:v>2791.71</c:v>
                </c:pt>
                <c:pt idx="204">
                  <c:v>2791.42</c:v>
                </c:pt>
                <c:pt idx="207">
                  <c:v>2791.14</c:v>
                </c:pt>
                <c:pt idx="211">
                  <c:v>2791.06</c:v>
                </c:pt>
                <c:pt idx="214">
                  <c:v>2791.01</c:v>
                </c:pt>
                <c:pt idx="218">
                  <c:v>2790.97</c:v>
                </c:pt>
                <c:pt idx="219">
                  <c:v>2790.85</c:v>
                </c:pt>
                <c:pt idx="220">
                  <c:v>2790.64</c:v>
                </c:pt>
                <c:pt idx="221">
                  <c:v>2790.42</c:v>
                </c:pt>
                <c:pt idx="222">
                  <c:v>2789.89</c:v>
                </c:pt>
                <c:pt idx="225">
                  <c:v>2789.23</c:v>
                </c:pt>
                <c:pt idx="229">
                  <c:v>2788.59</c:v>
                </c:pt>
                <c:pt idx="233">
                  <c:v>2787.99</c:v>
                </c:pt>
                <c:pt idx="236">
                  <c:v>2787.88</c:v>
                </c:pt>
                <c:pt idx="238">
                  <c:v>2788.08</c:v>
                </c:pt>
                <c:pt idx="239">
                  <c:v>2788.28</c:v>
                </c:pt>
                <c:pt idx="241">
                  <c:v>2788.49</c:v>
                </c:pt>
                <c:pt idx="243">
                  <c:v>2788.69</c:v>
                </c:pt>
                <c:pt idx="244">
                  <c:v>2788.89</c:v>
                </c:pt>
                <c:pt idx="245">
                  <c:v>2788.94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2A-C74C-BB14-AE9D08CFA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617103"/>
        <c:axId val="1127327791"/>
      </c:scatterChart>
      <c:valAx>
        <c:axId val="1066617103"/>
        <c:scaling>
          <c:orientation val="minMax"/>
          <c:min val="2968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50" b="1"/>
                  <a:t>MD</a:t>
                </a:r>
                <a:r>
                  <a:rPr lang="en-GB" sz="1050" b="1" baseline="0"/>
                  <a:t> (m)</a:t>
                </a:r>
                <a:endParaRPr lang="en-GB" sz="105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O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O"/>
          </a:p>
        </c:txPr>
        <c:crossAx val="1127327791"/>
        <c:crosses val="autoZero"/>
        <c:crossBetween val="midCat"/>
      </c:valAx>
      <c:valAx>
        <c:axId val="1127327791"/>
        <c:scaling>
          <c:orientation val="maxMin"/>
          <c:max val="2810"/>
          <c:min val="27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50" b="1"/>
                  <a:t>TVD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O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O"/>
          </a:p>
        </c:txPr>
        <c:crossAx val="1066617103"/>
        <c:crosses val="autoZero"/>
        <c:crossBetween val="midCat"/>
        <c:majorUnit val="20"/>
        <c:min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O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Pf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'LCa-3159 '!$A$111:$A$363</c:f>
              <c:numCache>
                <c:formatCode>0.00</c:formatCode>
                <c:ptCount val="253"/>
                <c:pt idx="0" formatCode="General">
                  <c:v>2935.2</c:v>
                </c:pt>
                <c:pt idx="1">
                  <c:v>2939.01</c:v>
                </c:pt>
                <c:pt idx="2" formatCode="General">
                  <c:v>2947.7</c:v>
                </c:pt>
                <c:pt idx="3" formatCode="General">
                  <c:v>2960.2</c:v>
                </c:pt>
                <c:pt idx="4">
                  <c:v>2968.16</c:v>
                </c:pt>
                <c:pt idx="5">
                  <c:v>2972.7</c:v>
                </c:pt>
                <c:pt idx="6" formatCode="General">
                  <c:v>2985.2</c:v>
                </c:pt>
                <c:pt idx="7">
                  <c:v>2997.28</c:v>
                </c:pt>
                <c:pt idx="8" formatCode="General">
                  <c:v>2997.7</c:v>
                </c:pt>
                <c:pt idx="9" formatCode="General">
                  <c:v>3010.2</c:v>
                </c:pt>
                <c:pt idx="10">
                  <c:v>3022.7</c:v>
                </c:pt>
                <c:pt idx="11">
                  <c:v>3026.48</c:v>
                </c:pt>
                <c:pt idx="12" formatCode="General">
                  <c:v>3027.7</c:v>
                </c:pt>
                <c:pt idx="13">
                  <c:v>3055.7</c:v>
                </c:pt>
                <c:pt idx="14">
                  <c:v>3084.97</c:v>
                </c:pt>
                <c:pt idx="15">
                  <c:v>3107.03</c:v>
                </c:pt>
                <c:pt idx="16">
                  <c:v>3126.76</c:v>
                </c:pt>
                <c:pt idx="17">
                  <c:v>3154.93</c:v>
                </c:pt>
                <c:pt idx="18">
                  <c:v>3184.21</c:v>
                </c:pt>
                <c:pt idx="19" formatCode="General">
                  <c:v>3205</c:v>
                </c:pt>
                <c:pt idx="20" formatCode="General">
                  <c:v>3212.5</c:v>
                </c:pt>
                <c:pt idx="21">
                  <c:v>3213.31</c:v>
                </c:pt>
                <c:pt idx="22">
                  <c:v>3225</c:v>
                </c:pt>
                <c:pt idx="23" formatCode="General">
                  <c:v>3237.5</c:v>
                </c:pt>
                <c:pt idx="24">
                  <c:v>3242.25</c:v>
                </c:pt>
                <c:pt idx="25" formatCode="General">
                  <c:v>3250</c:v>
                </c:pt>
                <c:pt idx="26" formatCode="General">
                  <c:v>3262.5</c:v>
                </c:pt>
                <c:pt idx="27">
                  <c:v>3271.08</c:v>
                </c:pt>
                <c:pt idx="28">
                  <c:v>3275</c:v>
                </c:pt>
                <c:pt idx="29" formatCode="General">
                  <c:v>3287.5</c:v>
                </c:pt>
                <c:pt idx="30" formatCode="General">
                  <c:v>3300</c:v>
                </c:pt>
                <c:pt idx="31">
                  <c:v>3300.2</c:v>
                </c:pt>
                <c:pt idx="32" formatCode="General">
                  <c:v>3305</c:v>
                </c:pt>
                <c:pt idx="33">
                  <c:v>3312.5</c:v>
                </c:pt>
                <c:pt idx="34" formatCode="General">
                  <c:v>3325</c:v>
                </c:pt>
                <c:pt idx="35">
                  <c:v>3329.22</c:v>
                </c:pt>
                <c:pt idx="36" formatCode="General">
                  <c:v>3337.5</c:v>
                </c:pt>
                <c:pt idx="37" formatCode="General">
                  <c:v>3350</c:v>
                </c:pt>
                <c:pt idx="38">
                  <c:v>3358.12</c:v>
                </c:pt>
                <c:pt idx="39">
                  <c:v>3362.5</c:v>
                </c:pt>
                <c:pt idx="40" formatCode="General">
                  <c:v>3375</c:v>
                </c:pt>
                <c:pt idx="41">
                  <c:v>3387.09</c:v>
                </c:pt>
                <c:pt idx="42" formatCode="General">
                  <c:v>3387.5</c:v>
                </c:pt>
                <c:pt idx="43">
                  <c:v>3400</c:v>
                </c:pt>
                <c:pt idx="44" formatCode="General">
                  <c:v>3405</c:v>
                </c:pt>
                <c:pt idx="45">
                  <c:v>3416.2</c:v>
                </c:pt>
                <c:pt idx="46">
                  <c:v>3444.81</c:v>
                </c:pt>
                <c:pt idx="47" formatCode="General">
                  <c:v>3459</c:v>
                </c:pt>
                <c:pt idx="48">
                  <c:v>3466.5</c:v>
                </c:pt>
                <c:pt idx="49">
                  <c:v>3474.08</c:v>
                </c:pt>
                <c:pt idx="50">
                  <c:v>3479</c:v>
                </c:pt>
                <c:pt idx="51">
                  <c:v>3491.5</c:v>
                </c:pt>
                <c:pt idx="52">
                  <c:v>3503.02</c:v>
                </c:pt>
                <c:pt idx="53" formatCode="General">
                  <c:v>3504</c:v>
                </c:pt>
                <c:pt idx="54" formatCode="General">
                  <c:v>3516.5</c:v>
                </c:pt>
                <c:pt idx="55">
                  <c:v>3529</c:v>
                </c:pt>
                <c:pt idx="56">
                  <c:v>3532.14</c:v>
                </c:pt>
                <c:pt idx="57" formatCode="General">
                  <c:v>3541.5</c:v>
                </c:pt>
                <c:pt idx="58" formatCode="General">
                  <c:v>3554</c:v>
                </c:pt>
                <c:pt idx="59">
                  <c:v>3559</c:v>
                </c:pt>
                <c:pt idx="60">
                  <c:v>3561.06</c:v>
                </c:pt>
                <c:pt idx="61" formatCode="General">
                  <c:v>3566.5</c:v>
                </c:pt>
                <c:pt idx="62" formatCode="General">
                  <c:v>3579</c:v>
                </c:pt>
                <c:pt idx="63">
                  <c:v>3590.09</c:v>
                </c:pt>
                <c:pt idx="64" formatCode="General">
                  <c:v>3591.5</c:v>
                </c:pt>
                <c:pt idx="65">
                  <c:v>3604</c:v>
                </c:pt>
                <c:pt idx="66" formatCode="General">
                  <c:v>3616.5</c:v>
                </c:pt>
                <c:pt idx="67">
                  <c:v>3619.2</c:v>
                </c:pt>
                <c:pt idx="68" formatCode="General">
                  <c:v>3629</c:v>
                </c:pt>
                <c:pt idx="69" formatCode="General">
                  <c:v>3641.5</c:v>
                </c:pt>
                <c:pt idx="70">
                  <c:v>3648.08</c:v>
                </c:pt>
                <c:pt idx="71">
                  <c:v>3654</c:v>
                </c:pt>
                <c:pt idx="72" formatCode="General">
                  <c:v>3659</c:v>
                </c:pt>
                <c:pt idx="73" formatCode="General">
                  <c:v>3666.5</c:v>
                </c:pt>
                <c:pt idx="74">
                  <c:v>3677.05</c:v>
                </c:pt>
                <c:pt idx="75">
                  <c:v>3679</c:v>
                </c:pt>
                <c:pt idx="76" formatCode="General">
                  <c:v>3691.5</c:v>
                </c:pt>
                <c:pt idx="77" formatCode="General">
                  <c:v>3704</c:v>
                </c:pt>
                <c:pt idx="78">
                  <c:v>3706.03</c:v>
                </c:pt>
                <c:pt idx="79" formatCode="General">
                  <c:v>3709</c:v>
                </c:pt>
                <c:pt idx="80">
                  <c:v>3728.95</c:v>
                </c:pt>
                <c:pt idx="81">
                  <c:v>3758.4</c:v>
                </c:pt>
                <c:pt idx="82">
                  <c:v>3787.61</c:v>
                </c:pt>
                <c:pt idx="83">
                  <c:v>3816.51</c:v>
                </c:pt>
                <c:pt idx="84">
                  <c:v>3845.51</c:v>
                </c:pt>
                <c:pt idx="85">
                  <c:v>3862.9</c:v>
                </c:pt>
                <c:pt idx="86" formatCode="General">
                  <c:v>3870.4</c:v>
                </c:pt>
                <c:pt idx="87">
                  <c:v>3874.44</c:v>
                </c:pt>
                <c:pt idx="88" formatCode="General">
                  <c:v>3882.9</c:v>
                </c:pt>
                <c:pt idx="89">
                  <c:v>3895.4</c:v>
                </c:pt>
                <c:pt idx="90">
                  <c:v>3903.64</c:v>
                </c:pt>
                <c:pt idx="91" formatCode="General">
                  <c:v>3907.9</c:v>
                </c:pt>
                <c:pt idx="92" formatCode="General">
                  <c:v>3912.9</c:v>
                </c:pt>
                <c:pt idx="93" formatCode="General">
                  <c:v>3920.4</c:v>
                </c:pt>
                <c:pt idx="94">
                  <c:v>3932.38</c:v>
                </c:pt>
                <c:pt idx="95">
                  <c:v>3932.9</c:v>
                </c:pt>
                <c:pt idx="96" formatCode="General">
                  <c:v>3945.4</c:v>
                </c:pt>
                <c:pt idx="97" formatCode="General">
                  <c:v>3957.9</c:v>
                </c:pt>
                <c:pt idx="98">
                  <c:v>3961.19</c:v>
                </c:pt>
                <c:pt idx="99">
                  <c:v>3962.9</c:v>
                </c:pt>
                <c:pt idx="100" formatCode="General">
                  <c:v>3970.4</c:v>
                </c:pt>
                <c:pt idx="101" formatCode="General">
                  <c:v>3982.9</c:v>
                </c:pt>
                <c:pt idx="102">
                  <c:v>3990.21</c:v>
                </c:pt>
                <c:pt idx="103" formatCode="General">
                  <c:v>3995.4</c:v>
                </c:pt>
                <c:pt idx="104">
                  <c:v>4007.9</c:v>
                </c:pt>
                <c:pt idx="105" formatCode="General">
                  <c:v>4012.9</c:v>
                </c:pt>
                <c:pt idx="106">
                  <c:v>4019.24</c:v>
                </c:pt>
                <c:pt idx="107" formatCode="General">
                  <c:v>4020.4</c:v>
                </c:pt>
                <c:pt idx="108">
                  <c:v>4032.9</c:v>
                </c:pt>
                <c:pt idx="109" formatCode="General">
                  <c:v>4045.4</c:v>
                </c:pt>
                <c:pt idx="110">
                  <c:v>4048.23</c:v>
                </c:pt>
                <c:pt idx="111" formatCode="General">
                  <c:v>4057.9</c:v>
                </c:pt>
                <c:pt idx="112" formatCode="General">
                  <c:v>4062.9</c:v>
                </c:pt>
                <c:pt idx="113">
                  <c:v>4070.4</c:v>
                </c:pt>
                <c:pt idx="114">
                  <c:v>4077.24</c:v>
                </c:pt>
                <c:pt idx="115" formatCode="General">
                  <c:v>4082.9</c:v>
                </c:pt>
                <c:pt idx="116" formatCode="General">
                  <c:v>4095.4</c:v>
                </c:pt>
                <c:pt idx="117">
                  <c:v>4106.13</c:v>
                </c:pt>
                <c:pt idx="118" formatCode="General">
                  <c:v>4107.8999999999996</c:v>
                </c:pt>
                <c:pt idx="119">
                  <c:v>4112.8999999999996</c:v>
                </c:pt>
                <c:pt idx="120">
                  <c:v>4135.3</c:v>
                </c:pt>
                <c:pt idx="121">
                  <c:v>4164.16</c:v>
                </c:pt>
                <c:pt idx="122">
                  <c:v>4193.21</c:v>
                </c:pt>
                <c:pt idx="123" formatCode="General">
                  <c:v>4208.3</c:v>
                </c:pt>
                <c:pt idx="124" formatCode="General">
                  <c:v>4215.8</c:v>
                </c:pt>
                <c:pt idx="125">
                  <c:v>4221.84</c:v>
                </c:pt>
                <c:pt idx="126">
                  <c:v>4228.3</c:v>
                </c:pt>
                <c:pt idx="127" formatCode="General">
                  <c:v>4240.8</c:v>
                </c:pt>
                <c:pt idx="128">
                  <c:v>4250.54</c:v>
                </c:pt>
                <c:pt idx="129" formatCode="General">
                  <c:v>4253.3</c:v>
                </c:pt>
                <c:pt idx="130">
                  <c:v>4265.8</c:v>
                </c:pt>
                <c:pt idx="131" formatCode="General">
                  <c:v>4278.3</c:v>
                </c:pt>
                <c:pt idx="132">
                  <c:v>4279.54</c:v>
                </c:pt>
                <c:pt idx="133" formatCode="General">
                  <c:v>4290.8</c:v>
                </c:pt>
                <c:pt idx="134" formatCode="General">
                  <c:v>4303.3</c:v>
                </c:pt>
                <c:pt idx="135">
                  <c:v>4308.3</c:v>
                </c:pt>
                <c:pt idx="136">
                  <c:v>4308.3900000000003</c:v>
                </c:pt>
                <c:pt idx="137" formatCode="General">
                  <c:v>4315.8</c:v>
                </c:pt>
                <c:pt idx="138" formatCode="General">
                  <c:v>4328.3</c:v>
                </c:pt>
                <c:pt idx="139">
                  <c:v>4337.3</c:v>
                </c:pt>
                <c:pt idx="140" formatCode="General">
                  <c:v>4340.8</c:v>
                </c:pt>
                <c:pt idx="141">
                  <c:v>4353.3</c:v>
                </c:pt>
                <c:pt idx="142" formatCode="General">
                  <c:v>4365.8</c:v>
                </c:pt>
                <c:pt idx="143">
                  <c:v>4366.2</c:v>
                </c:pt>
                <c:pt idx="144" formatCode="General">
                  <c:v>4378.3</c:v>
                </c:pt>
                <c:pt idx="145">
                  <c:v>4390.8</c:v>
                </c:pt>
                <c:pt idx="146">
                  <c:v>4395.0600000000004</c:v>
                </c:pt>
                <c:pt idx="147" formatCode="General">
                  <c:v>4403.3</c:v>
                </c:pt>
                <c:pt idx="148" formatCode="General">
                  <c:v>4408.3</c:v>
                </c:pt>
                <c:pt idx="149">
                  <c:v>4415.8</c:v>
                </c:pt>
                <c:pt idx="150">
                  <c:v>4422.55</c:v>
                </c:pt>
                <c:pt idx="151">
                  <c:v>4428.3</c:v>
                </c:pt>
                <c:pt idx="152">
                  <c:v>4440.8</c:v>
                </c:pt>
                <c:pt idx="153">
                  <c:v>4450.58</c:v>
                </c:pt>
                <c:pt idx="154">
                  <c:v>4453.3</c:v>
                </c:pt>
                <c:pt idx="155" formatCode="General">
                  <c:v>4465.8</c:v>
                </c:pt>
                <c:pt idx="156">
                  <c:v>4478.3</c:v>
                </c:pt>
                <c:pt idx="157">
                  <c:v>4479.54</c:v>
                </c:pt>
                <c:pt idx="158" formatCode="General">
                  <c:v>4490.8</c:v>
                </c:pt>
                <c:pt idx="159" formatCode="General">
                  <c:v>4503.3</c:v>
                </c:pt>
                <c:pt idx="160">
                  <c:v>4508.28</c:v>
                </c:pt>
                <c:pt idx="161">
                  <c:v>4508.3</c:v>
                </c:pt>
                <c:pt idx="162" formatCode="General">
                  <c:v>4515.8</c:v>
                </c:pt>
                <c:pt idx="163" formatCode="General">
                  <c:v>4528.3</c:v>
                </c:pt>
                <c:pt idx="164">
                  <c:v>4537.1400000000003</c:v>
                </c:pt>
                <c:pt idx="165" formatCode="General">
                  <c:v>4540.8</c:v>
                </c:pt>
                <c:pt idx="166">
                  <c:v>4553.3</c:v>
                </c:pt>
                <c:pt idx="167" formatCode="General">
                  <c:v>4565.8</c:v>
                </c:pt>
                <c:pt idx="168">
                  <c:v>4565.9399999999996</c:v>
                </c:pt>
                <c:pt idx="169" formatCode="General">
                  <c:v>4578.3</c:v>
                </c:pt>
                <c:pt idx="170">
                  <c:v>4590.8</c:v>
                </c:pt>
                <c:pt idx="171">
                  <c:v>4595.1499999999996</c:v>
                </c:pt>
                <c:pt idx="172" formatCode="General">
                  <c:v>4603.3</c:v>
                </c:pt>
                <c:pt idx="173" formatCode="General">
                  <c:v>4608.3</c:v>
                </c:pt>
                <c:pt idx="174">
                  <c:v>4624.01</c:v>
                </c:pt>
                <c:pt idx="175" formatCode="General">
                  <c:v>4624.3</c:v>
                </c:pt>
                <c:pt idx="176">
                  <c:v>4631.8</c:v>
                </c:pt>
                <c:pt idx="177" formatCode="General">
                  <c:v>4644.3</c:v>
                </c:pt>
                <c:pt idx="178">
                  <c:v>4652.8999999999996</c:v>
                </c:pt>
                <c:pt idx="179" formatCode="General">
                  <c:v>4656.8</c:v>
                </c:pt>
                <c:pt idx="180" formatCode="General">
                  <c:v>4669.3</c:v>
                </c:pt>
                <c:pt idx="181">
                  <c:v>4681.8</c:v>
                </c:pt>
                <c:pt idx="182">
                  <c:v>4681.88</c:v>
                </c:pt>
                <c:pt idx="183" formatCode="General">
                  <c:v>4694.3</c:v>
                </c:pt>
                <c:pt idx="184" formatCode="General">
                  <c:v>4706.8</c:v>
                </c:pt>
                <c:pt idx="185">
                  <c:v>4710.72</c:v>
                </c:pt>
                <c:pt idx="186">
                  <c:v>4719.3</c:v>
                </c:pt>
                <c:pt idx="187" formatCode="General">
                  <c:v>4724.3</c:v>
                </c:pt>
                <c:pt idx="188">
                  <c:v>4739.87</c:v>
                </c:pt>
                <c:pt idx="189">
                  <c:v>4768.9799999999996</c:v>
                </c:pt>
                <c:pt idx="190">
                  <c:v>4797.76</c:v>
                </c:pt>
                <c:pt idx="191">
                  <c:v>4826.84</c:v>
                </c:pt>
                <c:pt idx="192" formatCode="General">
                  <c:v>4854.8999999999996</c:v>
                </c:pt>
                <c:pt idx="193">
                  <c:v>4855.8500000000004</c:v>
                </c:pt>
                <c:pt idx="194" formatCode="General">
                  <c:v>4862.3999999999996</c:v>
                </c:pt>
                <c:pt idx="195">
                  <c:v>4874.8999999999996</c:v>
                </c:pt>
                <c:pt idx="196">
                  <c:v>4885.0200000000004</c:v>
                </c:pt>
                <c:pt idx="197" formatCode="General">
                  <c:v>4887.3999999999996</c:v>
                </c:pt>
                <c:pt idx="198" formatCode="General">
                  <c:v>4899.8999999999996</c:v>
                </c:pt>
                <c:pt idx="199">
                  <c:v>4912.3999999999996</c:v>
                </c:pt>
                <c:pt idx="200">
                  <c:v>4913.55</c:v>
                </c:pt>
                <c:pt idx="201" formatCode="General">
                  <c:v>4924.8999999999996</c:v>
                </c:pt>
                <c:pt idx="202" formatCode="General">
                  <c:v>4937.3999999999996</c:v>
                </c:pt>
                <c:pt idx="203">
                  <c:v>4942.6400000000003</c:v>
                </c:pt>
                <c:pt idx="204" formatCode="General">
                  <c:v>4949.8999999999996</c:v>
                </c:pt>
                <c:pt idx="205">
                  <c:v>4954.8999999999996</c:v>
                </c:pt>
                <c:pt idx="206">
                  <c:v>4962.3999999999996</c:v>
                </c:pt>
                <c:pt idx="207">
                  <c:v>4971.1099999999997</c:v>
                </c:pt>
                <c:pt idx="208">
                  <c:v>4974.8999999999996</c:v>
                </c:pt>
                <c:pt idx="209">
                  <c:v>4987.3999999999996</c:v>
                </c:pt>
                <c:pt idx="210">
                  <c:v>4999.8999999999996</c:v>
                </c:pt>
                <c:pt idx="211">
                  <c:v>5000.5200000000004</c:v>
                </c:pt>
                <c:pt idx="212" formatCode="General">
                  <c:v>5012.3999999999996</c:v>
                </c:pt>
                <c:pt idx="213" formatCode="General">
                  <c:v>5024.8999999999996</c:v>
                </c:pt>
                <c:pt idx="214">
                  <c:v>5029.5200000000004</c:v>
                </c:pt>
                <c:pt idx="215">
                  <c:v>5037.3999999999996</c:v>
                </c:pt>
                <c:pt idx="216" formatCode="General">
                  <c:v>5049.8999999999996</c:v>
                </c:pt>
                <c:pt idx="217" formatCode="General">
                  <c:v>5054.8999999999996</c:v>
                </c:pt>
                <c:pt idx="218">
                  <c:v>5057.6499999999996</c:v>
                </c:pt>
                <c:pt idx="219" formatCode="General">
                  <c:v>5062.3999999999996</c:v>
                </c:pt>
                <c:pt idx="220">
                  <c:v>5074.8999999999996</c:v>
                </c:pt>
                <c:pt idx="221">
                  <c:v>5085.29</c:v>
                </c:pt>
                <c:pt idx="222" formatCode="General">
                  <c:v>5087.3999999999996</c:v>
                </c:pt>
                <c:pt idx="223" formatCode="General">
                  <c:v>5099.8999999999996</c:v>
                </c:pt>
                <c:pt idx="224" formatCode="General">
                  <c:v>5104.8999999999996</c:v>
                </c:pt>
                <c:pt idx="225">
                  <c:v>5114.55</c:v>
                </c:pt>
                <c:pt idx="226">
                  <c:v>5143.82</c:v>
                </c:pt>
                <c:pt idx="227">
                  <c:v>5172.68</c:v>
                </c:pt>
                <c:pt idx="228">
                  <c:v>5201.7</c:v>
                </c:pt>
                <c:pt idx="229">
                  <c:v>5230.72</c:v>
                </c:pt>
                <c:pt idx="230">
                  <c:v>5241.3</c:v>
                </c:pt>
                <c:pt idx="231" formatCode="General">
                  <c:v>5248.8</c:v>
                </c:pt>
                <c:pt idx="232">
                  <c:v>5259.84</c:v>
                </c:pt>
                <c:pt idx="233" formatCode="General">
                  <c:v>5261.3</c:v>
                </c:pt>
                <c:pt idx="234">
                  <c:v>5273.8</c:v>
                </c:pt>
                <c:pt idx="235" formatCode="General">
                  <c:v>5286.3</c:v>
                </c:pt>
                <c:pt idx="236">
                  <c:v>5289.38</c:v>
                </c:pt>
                <c:pt idx="237">
                  <c:v>5291.3</c:v>
                </c:pt>
                <c:pt idx="238">
                  <c:v>5311.3</c:v>
                </c:pt>
                <c:pt idx="239" formatCode="General">
                  <c:v>5318.8</c:v>
                </c:pt>
                <c:pt idx="240">
                  <c:v>5318.84</c:v>
                </c:pt>
                <c:pt idx="241">
                  <c:v>5331.3</c:v>
                </c:pt>
                <c:pt idx="242" formatCode="General">
                  <c:v>5343.8</c:v>
                </c:pt>
                <c:pt idx="243">
                  <c:v>5348.37</c:v>
                </c:pt>
                <c:pt idx="244">
                  <c:v>5356.3</c:v>
                </c:pt>
                <c:pt idx="245">
                  <c:v>5377.69</c:v>
                </c:pt>
                <c:pt idx="246">
                  <c:v>5406.98</c:v>
                </c:pt>
                <c:pt idx="247">
                  <c:v>5428</c:v>
                </c:pt>
                <c:pt idx="248">
                  <c:v>5436.05</c:v>
                </c:pt>
                <c:pt idx="249">
                  <c:v>5438.8</c:v>
                </c:pt>
                <c:pt idx="250">
                  <c:v>5465.05</c:v>
                </c:pt>
                <c:pt idx="251">
                  <c:v>5493.82</c:v>
                </c:pt>
                <c:pt idx="252">
                  <c:v>5501.88</c:v>
                </c:pt>
              </c:numCache>
            </c:numRef>
          </c:xVal>
          <c:yVal>
            <c:numRef>
              <c:f>'LCa-3159 '!$AB$111:$AB$365</c:f>
              <c:numCache>
                <c:formatCode>0.00</c:formatCode>
                <c:ptCount val="255"/>
                <c:pt idx="0">
                  <c:v>9771</c:v>
                </c:pt>
                <c:pt idx="2">
                  <c:v>9771</c:v>
                </c:pt>
                <c:pt idx="3">
                  <c:v>9771</c:v>
                </c:pt>
                <c:pt idx="5">
                  <c:v>9771</c:v>
                </c:pt>
                <c:pt idx="6">
                  <c:v>8689</c:v>
                </c:pt>
                <c:pt idx="8">
                  <c:v>8689</c:v>
                </c:pt>
                <c:pt idx="9">
                  <c:v>8689</c:v>
                </c:pt>
                <c:pt idx="10">
                  <c:v>8689</c:v>
                </c:pt>
                <c:pt idx="19">
                  <c:v>10594</c:v>
                </c:pt>
                <c:pt idx="20">
                  <c:v>10594</c:v>
                </c:pt>
                <c:pt idx="22">
                  <c:v>10594</c:v>
                </c:pt>
                <c:pt idx="23">
                  <c:v>10594</c:v>
                </c:pt>
                <c:pt idx="25">
                  <c:v>10594</c:v>
                </c:pt>
                <c:pt idx="26">
                  <c:v>9900</c:v>
                </c:pt>
                <c:pt idx="28">
                  <c:v>9900</c:v>
                </c:pt>
                <c:pt idx="29">
                  <c:v>9900</c:v>
                </c:pt>
                <c:pt idx="30">
                  <c:v>9900</c:v>
                </c:pt>
                <c:pt idx="33">
                  <c:v>9747</c:v>
                </c:pt>
                <c:pt idx="34">
                  <c:v>9747</c:v>
                </c:pt>
                <c:pt idx="36">
                  <c:v>9747</c:v>
                </c:pt>
                <c:pt idx="37">
                  <c:v>9747</c:v>
                </c:pt>
                <c:pt idx="39">
                  <c:v>8743</c:v>
                </c:pt>
                <c:pt idx="40">
                  <c:v>8743</c:v>
                </c:pt>
                <c:pt idx="42">
                  <c:v>8743</c:v>
                </c:pt>
                <c:pt idx="43">
                  <c:v>8743</c:v>
                </c:pt>
                <c:pt idx="47">
                  <c:v>10549</c:v>
                </c:pt>
                <c:pt idx="48">
                  <c:v>10549</c:v>
                </c:pt>
                <c:pt idx="50">
                  <c:v>10549</c:v>
                </c:pt>
                <c:pt idx="51">
                  <c:v>10549</c:v>
                </c:pt>
                <c:pt idx="53">
                  <c:v>10549</c:v>
                </c:pt>
                <c:pt idx="54">
                  <c:v>8565</c:v>
                </c:pt>
                <c:pt idx="55">
                  <c:v>8565</c:v>
                </c:pt>
                <c:pt idx="57">
                  <c:v>8565</c:v>
                </c:pt>
                <c:pt idx="58">
                  <c:v>8565</c:v>
                </c:pt>
                <c:pt idx="61">
                  <c:v>10443</c:v>
                </c:pt>
                <c:pt idx="62">
                  <c:v>10443</c:v>
                </c:pt>
                <c:pt idx="64">
                  <c:v>10443</c:v>
                </c:pt>
                <c:pt idx="65">
                  <c:v>10443</c:v>
                </c:pt>
                <c:pt idx="66">
                  <c:v>8753</c:v>
                </c:pt>
                <c:pt idx="68">
                  <c:v>8753</c:v>
                </c:pt>
                <c:pt idx="69">
                  <c:v>8753</c:v>
                </c:pt>
                <c:pt idx="71">
                  <c:v>8753</c:v>
                </c:pt>
                <c:pt idx="73">
                  <c:v>10671</c:v>
                </c:pt>
                <c:pt idx="75">
                  <c:v>10671</c:v>
                </c:pt>
                <c:pt idx="76">
                  <c:v>10671</c:v>
                </c:pt>
                <c:pt idx="77">
                  <c:v>10671</c:v>
                </c:pt>
                <c:pt idx="85">
                  <c:v>10722</c:v>
                </c:pt>
                <c:pt idx="86">
                  <c:v>10722</c:v>
                </c:pt>
                <c:pt idx="88">
                  <c:v>10722</c:v>
                </c:pt>
                <c:pt idx="89">
                  <c:v>10722</c:v>
                </c:pt>
                <c:pt idx="91">
                  <c:v>10722</c:v>
                </c:pt>
                <c:pt idx="93">
                  <c:v>10617</c:v>
                </c:pt>
                <c:pt idx="95">
                  <c:v>10617</c:v>
                </c:pt>
                <c:pt idx="96">
                  <c:v>10617</c:v>
                </c:pt>
                <c:pt idx="97">
                  <c:v>10617</c:v>
                </c:pt>
                <c:pt idx="100">
                  <c:v>10751</c:v>
                </c:pt>
                <c:pt idx="101">
                  <c:v>10751</c:v>
                </c:pt>
                <c:pt idx="103">
                  <c:v>10571</c:v>
                </c:pt>
                <c:pt idx="104">
                  <c:v>10571</c:v>
                </c:pt>
                <c:pt idx="107">
                  <c:v>10645</c:v>
                </c:pt>
                <c:pt idx="108">
                  <c:v>10645</c:v>
                </c:pt>
                <c:pt idx="109">
                  <c:v>10645</c:v>
                </c:pt>
                <c:pt idx="111">
                  <c:v>10645</c:v>
                </c:pt>
                <c:pt idx="113">
                  <c:v>10590</c:v>
                </c:pt>
                <c:pt idx="115">
                  <c:v>10590</c:v>
                </c:pt>
                <c:pt idx="116">
                  <c:v>10590</c:v>
                </c:pt>
                <c:pt idx="118">
                  <c:v>10590</c:v>
                </c:pt>
                <c:pt idx="123">
                  <c:v>10641</c:v>
                </c:pt>
                <c:pt idx="124">
                  <c:v>10641</c:v>
                </c:pt>
                <c:pt idx="126">
                  <c:v>10641</c:v>
                </c:pt>
                <c:pt idx="127">
                  <c:v>10641</c:v>
                </c:pt>
                <c:pt idx="129">
                  <c:v>10641</c:v>
                </c:pt>
                <c:pt idx="130">
                  <c:v>9045</c:v>
                </c:pt>
                <c:pt idx="131">
                  <c:v>9045</c:v>
                </c:pt>
                <c:pt idx="133">
                  <c:v>9045</c:v>
                </c:pt>
                <c:pt idx="134">
                  <c:v>9045</c:v>
                </c:pt>
                <c:pt idx="137">
                  <c:v>10722</c:v>
                </c:pt>
                <c:pt idx="138">
                  <c:v>10722</c:v>
                </c:pt>
                <c:pt idx="140">
                  <c:v>10722</c:v>
                </c:pt>
                <c:pt idx="141">
                  <c:v>10722</c:v>
                </c:pt>
                <c:pt idx="142">
                  <c:v>9243</c:v>
                </c:pt>
                <c:pt idx="144">
                  <c:v>9243</c:v>
                </c:pt>
                <c:pt idx="145">
                  <c:v>9243</c:v>
                </c:pt>
                <c:pt idx="147">
                  <c:v>9243</c:v>
                </c:pt>
                <c:pt idx="149">
                  <c:v>10728</c:v>
                </c:pt>
                <c:pt idx="151">
                  <c:v>10728</c:v>
                </c:pt>
                <c:pt idx="152">
                  <c:v>10728</c:v>
                </c:pt>
                <c:pt idx="154">
                  <c:v>10728</c:v>
                </c:pt>
                <c:pt idx="155">
                  <c:v>9846</c:v>
                </c:pt>
                <c:pt idx="156">
                  <c:v>9846</c:v>
                </c:pt>
                <c:pt idx="158">
                  <c:v>9846</c:v>
                </c:pt>
                <c:pt idx="159">
                  <c:v>9846</c:v>
                </c:pt>
                <c:pt idx="162">
                  <c:v>10651</c:v>
                </c:pt>
                <c:pt idx="163">
                  <c:v>10651</c:v>
                </c:pt>
                <c:pt idx="165">
                  <c:v>10651</c:v>
                </c:pt>
                <c:pt idx="166">
                  <c:v>10651</c:v>
                </c:pt>
                <c:pt idx="167">
                  <c:v>9507</c:v>
                </c:pt>
                <c:pt idx="169">
                  <c:v>9507</c:v>
                </c:pt>
                <c:pt idx="170">
                  <c:v>9507</c:v>
                </c:pt>
                <c:pt idx="172">
                  <c:v>9507</c:v>
                </c:pt>
                <c:pt idx="175">
                  <c:v>10722</c:v>
                </c:pt>
                <c:pt idx="176">
                  <c:v>10722</c:v>
                </c:pt>
                <c:pt idx="177">
                  <c:v>10722</c:v>
                </c:pt>
                <c:pt idx="179">
                  <c:v>10722</c:v>
                </c:pt>
                <c:pt idx="180">
                  <c:v>10722</c:v>
                </c:pt>
                <c:pt idx="181">
                  <c:v>9803</c:v>
                </c:pt>
                <c:pt idx="183">
                  <c:v>9803</c:v>
                </c:pt>
                <c:pt idx="184">
                  <c:v>9803</c:v>
                </c:pt>
                <c:pt idx="186">
                  <c:v>9803</c:v>
                </c:pt>
                <c:pt idx="192">
                  <c:v>10620</c:v>
                </c:pt>
                <c:pt idx="194">
                  <c:v>10620</c:v>
                </c:pt>
                <c:pt idx="195">
                  <c:v>10620</c:v>
                </c:pt>
                <c:pt idx="197">
                  <c:v>10620</c:v>
                </c:pt>
                <c:pt idx="198">
                  <c:v>10620</c:v>
                </c:pt>
                <c:pt idx="199">
                  <c:v>9687</c:v>
                </c:pt>
                <c:pt idx="201">
                  <c:v>9687</c:v>
                </c:pt>
                <c:pt idx="202">
                  <c:v>9687</c:v>
                </c:pt>
                <c:pt idx="206">
                  <c:v>10654</c:v>
                </c:pt>
                <c:pt idx="208">
                  <c:v>10645</c:v>
                </c:pt>
                <c:pt idx="209">
                  <c:v>10645</c:v>
                </c:pt>
                <c:pt idx="210">
                  <c:v>10654</c:v>
                </c:pt>
                <c:pt idx="212">
                  <c:v>9600</c:v>
                </c:pt>
                <c:pt idx="213">
                  <c:v>9600</c:v>
                </c:pt>
                <c:pt idx="215">
                  <c:v>9600</c:v>
                </c:pt>
                <c:pt idx="216">
                  <c:v>9600</c:v>
                </c:pt>
                <c:pt idx="219">
                  <c:v>10743</c:v>
                </c:pt>
                <c:pt idx="220">
                  <c:v>10743</c:v>
                </c:pt>
                <c:pt idx="222">
                  <c:v>10743</c:v>
                </c:pt>
                <c:pt idx="223">
                  <c:v>10743</c:v>
                </c:pt>
                <c:pt idx="230">
                  <c:v>10600</c:v>
                </c:pt>
                <c:pt idx="231">
                  <c:v>10600</c:v>
                </c:pt>
                <c:pt idx="233">
                  <c:v>10600</c:v>
                </c:pt>
                <c:pt idx="234">
                  <c:v>10600</c:v>
                </c:pt>
                <c:pt idx="235">
                  <c:v>10600</c:v>
                </c:pt>
                <c:pt idx="238">
                  <c:v>10772</c:v>
                </c:pt>
                <c:pt idx="239">
                  <c:v>10772</c:v>
                </c:pt>
                <c:pt idx="240">
                  <c:v>10772</c:v>
                </c:pt>
                <c:pt idx="241">
                  <c:v>10772</c:v>
                </c:pt>
                <c:pt idx="242">
                  <c:v>10772</c:v>
                </c:pt>
                <c:pt idx="243">
                  <c:v>10772</c:v>
                </c:pt>
                <c:pt idx="244">
                  <c:v>10772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A2-CD45-97E5-597EB725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2757200"/>
        <c:axId val="2108258560"/>
      </c:scatterChart>
      <c:scatterChart>
        <c:scatterStyle val="lineMarker"/>
        <c:varyColors val="0"/>
        <c:ser>
          <c:idx val="1"/>
          <c:order val="1"/>
          <c:tx>
            <c:v>Csg def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'LCa-3159 '!$A$111:$A$363</c:f>
              <c:numCache>
                <c:formatCode>0.00</c:formatCode>
                <c:ptCount val="253"/>
                <c:pt idx="0" formatCode="General">
                  <c:v>2935.2</c:v>
                </c:pt>
                <c:pt idx="1">
                  <c:v>2939.01</c:v>
                </c:pt>
                <c:pt idx="2" formatCode="General">
                  <c:v>2947.7</c:v>
                </c:pt>
                <c:pt idx="3" formatCode="General">
                  <c:v>2960.2</c:v>
                </c:pt>
                <c:pt idx="4">
                  <c:v>2968.16</c:v>
                </c:pt>
                <c:pt idx="5">
                  <c:v>2972.7</c:v>
                </c:pt>
                <c:pt idx="6" formatCode="General">
                  <c:v>2985.2</c:v>
                </c:pt>
                <c:pt idx="7">
                  <c:v>2997.28</c:v>
                </c:pt>
                <c:pt idx="8" formatCode="General">
                  <c:v>2997.7</c:v>
                </c:pt>
                <c:pt idx="9" formatCode="General">
                  <c:v>3010.2</c:v>
                </c:pt>
                <c:pt idx="10">
                  <c:v>3022.7</c:v>
                </c:pt>
                <c:pt idx="11">
                  <c:v>3026.48</c:v>
                </c:pt>
                <c:pt idx="12" formatCode="General">
                  <c:v>3027.7</c:v>
                </c:pt>
                <c:pt idx="13">
                  <c:v>3055.7</c:v>
                </c:pt>
                <c:pt idx="14">
                  <c:v>3084.97</c:v>
                </c:pt>
                <c:pt idx="15">
                  <c:v>3107.03</c:v>
                </c:pt>
                <c:pt idx="16">
                  <c:v>3126.76</c:v>
                </c:pt>
                <c:pt idx="17">
                  <c:v>3154.93</c:v>
                </c:pt>
                <c:pt idx="18">
                  <c:v>3184.21</c:v>
                </c:pt>
                <c:pt idx="19" formatCode="General">
                  <c:v>3205</c:v>
                </c:pt>
                <c:pt idx="20" formatCode="General">
                  <c:v>3212.5</c:v>
                </c:pt>
                <c:pt idx="21">
                  <c:v>3213.31</c:v>
                </c:pt>
                <c:pt idx="22">
                  <c:v>3225</c:v>
                </c:pt>
                <c:pt idx="23" formatCode="General">
                  <c:v>3237.5</c:v>
                </c:pt>
                <c:pt idx="24">
                  <c:v>3242.25</c:v>
                </c:pt>
                <c:pt idx="25" formatCode="General">
                  <c:v>3250</c:v>
                </c:pt>
                <c:pt idx="26" formatCode="General">
                  <c:v>3262.5</c:v>
                </c:pt>
                <c:pt idx="27">
                  <c:v>3271.08</c:v>
                </c:pt>
                <c:pt idx="28">
                  <c:v>3275</c:v>
                </c:pt>
                <c:pt idx="29" formatCode="General">
                  <c:v>3287.5</c:v>
                </c:pt>
                <c:pt idx="30" formatCode="General">
                  <c:v>3300</c:v>
                </c:pt>
                <c:pt idx="31">
                  <c:v>3300.2</c:v>
                </c:pt>
                <c:pt idx="32" formatCode="General">
                  <c:v>3305</c:v>
                </c:pt>
                <c:pt idx="33">
                  <c:v>3312.5</c:v>
                </c:pt>
                <c:pt idx="34" formatCode="General">
                  <c:v>3325</c:v>
                </c:pt>
                <c:pt idx="35">
                  <c:v>3329.22</c:v>
                </c:pt>
                <c:pt idx="36" formatCode="General">
                  <c:v>3337.5</c:v>
                </c:pt>
                <c:pt idx="37" formatCode="General">
                  <c:v>3350</c:v>
                </c:pt>
                <c:pt idx="38">
                  <c:v>3358.12</c:v>
                </c:pt>
                <c:pt idx="39">
                  <c:v>3362.5</c:v>
                </c:pt>
                <c:pt idx="40" formatCode="General">
                  <c:v>3375</c:v>
                </c:pt>
                <c:pt idx="41">
                  <c:v>3387.09</c:v>
                </c:pt>
                <c:pt idx="42" formatCode="General">
                  <c:v>3387.5</c:v>
                </c:pt>
                <c:pt idx="43">
                  <c:v>3400</c:v>
                </c:pt>
                <c:pt idx="44" formatCode="General">
                  <c:v>3405</c:v>
                </c:pt>
                <c:pt idx="45">
                  <c:v>3416.2</c:v>
                </c:pt>
                <c:pt idx="46">
                  <c:v>3444.81</c:v>
                </c:pt>
                <c:pt idx="47" formatCode="General">
                  <c:v>3459</c:v>
                </c:pt>
                <c:pt idx="48">
                  <c:v>3466.5</c:v>
                </c:pt>
                <c:pt idx="49">
                  <c:v>3474.08</c:v>
                </c:pt>
                <c:pt idx="50">
                  <c:v>3479</c:v>
                </c:pt>
                <c:pt idx="51">
                  <c:v>3491.5</c:v>
                </c:pt>
                <c:pt idx="52">
                  <c:v>3503.02</c:v>
                </c:pt>
                <c:pt idx="53" formatCode="General">
                  <c:v>3504</c:v>
                </c:pt>
                <c:pt idx="54" formatCode="General">
                  <c:v>3516.5</c:v>
                </c:pt>
                <c:pt idx="55">
                  <c:v>3529</c:v>
                </c:pt>
                <c:pt idx="56">
                  <c:v>3532.14</c:v>
                </c:pt>
                <c:pt idx="57" formatCode="General">
                  <c:v>3541.5</c:v>
                </c:pt>
                <c:pt idx="58" formatCode="General">
                  <c:v>3554</c:v>
                </c:pt>
                <c:pt idx="59">
                  <c:v>3559</c:v>
                </c:pt>
                <c:pt idx="60">
                  <c:v>3561.06</c:v>
                </c:pt>
                <c:pt idx="61" formatCode="General">
                  <c:v>3566.5</c:v>
                </c:pt>
                <c:pt idx="62" formatCode="General">
                  <c:v>3579</c:v>
                </c:pt>
                <c:pt idx="63">
                  <c:v>3590.09</c:v>
                </c:pt>
                <c:pt idx="64" formatCode="General">
                  <c:v>3591.5</c:v>
                </c:pt>
                <c:pt idx="65">
                  <c:v>3604</c:v>
                </c:pt>
                <c:pt idx="66" formatCode="General">
                  <c:v>3616.5</c:v>
                </c:pt>
                <c:pt idx="67">
                  <c:v>3619.2</c:v>
                </c:pt>
                <c:pt idx="68" formatCode="General">
                  <c:v>3629</c:v>
                </c:pt>
                <c:pt idx="69" formatCode="General">
                  <c:v>3641.5</c:v>
                </c:pt>
                <c:pt idx="70">
                  <c:v>3648.08</c:v>
                </c:pt>
                <c:pt idx="71">
                  <c:v>3654</c:v>
                </c:pt>
                <c:pt idx="72" formatCode="General">
                  <c:v>3659</c:v>
                </c:pt>
                <c:pt idx="73" formatCode="General">
                  <c:v>3666.5</c:v>
                </c:pt>
                <c:pt idx="74">
                  <c:v>3677.05</c:v>
                </c:pt>
                <c:pt idx="75">
                  <c:v>3679</c:v>
                </c:pt>
                <c:pt idx="76" formatCode="General">
                  <c:v>3691.5</c:v>
                </c:pt>
                <c:pt idx="77" formatCode="General">
                  <c:v>3704</c:v>
                </c:pt>
                <c:pt idx="78">
                  <c:v>3706.03</c:v>
                </c:pt>
                <c:pt idx="79" formatCode="General">
                  <c:v>3709</c:v>
                </c:pt>
                <c:pt idx="80">
                  <c:v>3728.95</c:v>
                </c:pt>
                <c:pt idx="81">
                  <c:v>3758.4</c:v>
                </c:pt>
                <c:pt idx="82">
                  <c:v>3787.61</c:v>
                </c:pt>
                <c:pt idx="83">
                  <c:v>3816.51</c:v>
                </c:pt>
                <c:pt idx="84">
                  <c:v>3845.51</c:v>
                </c:pt>
                <c:pt idx="85">
                  <c:v>3862.9</c:v>
                </c:pt>
                <c:pt idx="86" formatCode="General">
                  <c:v>3870.4</c:v>
                </c:pt>
                <c:pt idx="87">
                  <c:v>3874.44</c:v>
                </c:pt>
                <c:pt idx="88" formatCode="General">
                  <c:v>3882.9</c:v>
                </c:pt>
                <c:pt idx="89">
                  <c:v>3895.4</c:v>
                </c:pt>
                <c:pt idx="90">
                  <c:v>3903.64</c:v>
                </c:pt>
                <c:pt idx="91" formatCode="General">
                  <c:v>3907.9</c:v>
                </c:pt>
                <c:pt idx="92" formatCode="General">
                  <c:v>3912.9</c:v>
                </c:pt>
                <c:pt idx="93" formatCode="General">
                  <c:v>3920.4</c:v>
                </c:pt>
                <c:pt idx="94">
                  <c:v>3932.38</c:v>
                </c:pt>
                <c:pt idx="95">
                  <c:v>3932.9</c:v>
                </c:pt>
                <c:pt idx="96" formatCode="General">
                  <c:v>3945.4</c:v>
                </c:pt>
                <c:pt idx="97" formatCode="General">
                  <c:v>3957.9</c:v>
                </c:pt>
                <c:pt idx="98">
                  <c:v>3961.19</c:v>
                </c:pt>
                <c:pt idx="99">
                  <c:v>3962.9</c:v>
                </c:pt>
                <c:pt idx="100" formatCode="General">
                  <c:v>3970.4</c:v>
                </c:pt>
                <c:pt idx="101" formatCode="General">
                  <c:v>3982.9</c:v>
                </c:pt>
                <c:pt idx="102">
                  <c:v>3990.21</c:v>
                </c:pt>
                <c:pt idx="103" formatCode="General">
                  <c:v>3995.4</c:v>
                </c:pt>
                <c:pt idx="104">
                  <c:v>4007.9</c:v>
                </c:pt>
                <c:pt idx="105" formatCode="General">
                  <c:v>4012.9</c:v>
                </c:pt>
                <c:pt idx="106">
                  <c:v>4019.24</c:v>
                </c:pt>
                <c:pt idx="107" formatCode="General">
                  <c:v>4020.4</c:v>
                </c:pt>
                <c:pt idx="108">
                  <c:v>4032.9</c:v>
                </c:pt>
                <c:pt idx="109" formatCode="General">
                  <c:v>4045.4</c:v>
                </c:pt>
                <c:pt idx="110">
                  <c:v>4048.23</c:v>
                </c:pt>
                <c:pt idx="111" formatCode="General">
                  <c:v>4057.9</c:v>
                </c:pt>
                <c:pt idx="112" formatCode="General">
                  <c:v>4062.9</c:v>
                </c:pt>
                <c:pt idx="113">
                  <c:v>4070.4</c:v>
                </c:pt>
                <c:pt idx="114">
                  <c:v>4077.24</c:v>
                </c:pt>
                <c:pt idx="115" formatCode="General">
                  <c:v>4082.9</c:v>
                </c:pt>
                <c:pt idx="116" formatCode="General">
                  <c:v>4095.4</c:v>
                </c:pt>
                <c:pt idx="117">
                  <c:v>4106.13</c:v>
                </c:pt>
                <c:pt idx="118" formatCode="General">
                  <c:v>4107.8999999999996</c:v>
                </c:pt>
                <c:pt idx="119">
                  <c:v>4112.8999999999996</c:v>
                </c:pt>
                <c:pt idx="120">
                  <c:v>4135.3</c:v>
                </c:pt>
                <c:pt idx="121">
                  <c:v>4164.16</c:v>
                </c:pt>
                <c:pt idx="122">
                  <c:v>4193.21</c:v>
                </c:pt>
                <c:pt idx="123" formatCode="General">
                  <c:v>4208.3</c:v>
                </c:pt>
                <c:pt idx="124" formatCode="General">
                  <c:v>4215.8</c:v>
                </c:pt>
                <c:pt idx="125">
                  <c:v>4221.84</c:v>
                </c:pt>
                <c:pt idx="126">
                  <c:v>4228.3</c:v>
                </c:pt>
                <c:pt idx="127" formatCode="General">
                  <c:v>4240.8</c:v>
                </c:pt>
                <c:pt idx="128">
                  <c:v>4250.54</c:v>
                </c:pt>
                <c:pt idx="129" formatCode="General">
                  <c:v>4253.3</c:v>
                </c:pt>
                <c:pt idx="130">
                  <c:v>4265.8</c:v>
                </c:pt>
                <c:pt idx="131" formatCode="General">
                  <c:v>4278.3</c:v>
                </c:pt>
                <c:pt idx="132">
                  <c:v>4279.54</c:v>
                </c:pt>
                <c:pt idx="133" formatCode="General">
                  <c:v>4290.8</c:v>
                </c:pt>
                <c:pt idx="134" formatCode="General">
                  <c:v>4303.3</c:v>
                </c:pt>
                <c:pt idx="135">
                  <c:v>4308.3</c:v>
                </c:pt>
                <c:pt idx="136">
                  <c:v>4308.3900000000003</c:v>
                </c:pt>
                <c:pt idx="137" formatCode="General">
                  <c:v>4315.8</c:v>
                </c:pt>
                <c:pt idx="138" formatCode="General">
                  <c:v>4328.3</c:v>
                </c:pt>
                <c:pt idx="139">
                  <c:v>4337.3</c:v>
                </c:pt>
                <c:pt idx="140" formatCode="General">
                  <c:v>4340.8</c:v>
                </c:pt>
                <c:pt idx="141">
                  <c:v>4353.3</c:v>
                </c:pt>
                <c:pt idx="142" formatCode="General">
                  <c:v>4365.8</c:v>
                </c:pt>
                <c:pt idx="143">
                  <c:v>4366.2</c:v>
                </c:pt>
                <c:pt idx="144" formatCode="General">
                  <c:v>4378.3</c:v>
                </c:pt>
                <c:pt idx="145">
                  <c:v>4390.8</c:v>
                </c:pt>
                <c:pt idx="146">
                  <c:v>4395.0600000000004</c:v>
                </c:pt>
                <c:pt idx="147" formatCode="General">
                  <c:v>4403.3</c:v>
                </c:pt>
                <c:pt idx="148" formatCode="General">
                  <c:v>4408.3</c:v>
                </c:pt>
                <c:pt idx="149">
                  <c:v>4415.8</c:v>
                </c:pt>
                <c:pt idx="150">
                  <c:v>4422.55</c:v>
                </c:pt>
                <c:pt idx="151">
                  <c:v>4428.3</c:v>
                </c:pt>
                <c:pt idx="152">
                  <c:v>4440.8</c:v>
                </c:pt>
                <c:pt idx="153">
                  <c:v>4450.58</c:v>
                </c:pt>
                <c:pt idx="154">
                  <c:v>4453.3</c:v>
                </c:pt>
                <c:pt idx="155" formatCode="General">
                  <c:v>4465.8</c:v>
                </c:pt>
                <c:pt idx="156">
                  <c:v>4478.3</c:v>
                </c:pt>
                <c:pt idx="157">
                  <c:v>4479.54</c:v>
                </c:pt>
                <c:pt idx="158" formatCode="General">
                  <c:v>4490.8</c:v>
                </c:pt>
                <c:pt idx="159" formatCode="General">
                  <c:v>4503.3</c:v>
                </c:pt>
                <c:pt idx="160">
                  <c:v>4508.28</c:v>
                </c:pt>
                <c:pt idx="161">
                  <c:v>4508.3</c:v>
                </c:pt>
                <c:pt idx="162" formatCode="General">
                  <c:v>4515.8</c:v>
                </c:pt>
                <c:pt idx="163" formatCode="General">
                  <c:v>4528.3</c:v>
                </c:pt>
                <c:pt idx="164">
                  <c:v>4537.1400000000003</c:v>
                </c:pt>
                <c:pt idx="165" formatCode="General">
                  <c:v>4540.8</c:v>
                </c:pt>
                <c:pt idx="166">
                  <c:v>4553.3</c:v>
                </c:pt>
                <c:pt idx="167" formatCode="General">
                  <c:v>4565.8</c:v>
                </c:pt>
                <c:pt idx="168">
                  <c:v>4565.9399999999996</c:v>
                </c:pt>
                <c:pt idx="169" formatCode="General">
                  <c:v>4578.3</c:v>
                </c:pt>
                <c:pt idx="170">
                  <c:v>4590.8</c:v>
                </c:pt>
                <c:pt idx="171">
                  <c:v>4595.1499999999996</c:v>
                </c:pt>
                <c:pt idx="172" formatCode="General">
                  <c:v>4603.3</c:v>
                </c:pt>
                <c:pt idx="173" formatCode="General">
                  <c:v>4608.3</c:v>
                </c:pt>
                <c:pt idx="174">
                  <c:v>4624.01</c:v>
                </c:pt>
                <c:pt idx="175" formatCode="General">
                  <c:v>4624.3</c:v>
                </c:pt>
                <c:pt idx="176">
                  <c:v>4631.8</c:v>
                </c:pt>
                <c:pt idx="177" formatCode="General">
                  <c:v>4644.3</c:v>
                </c:pt>
                <c:pt idx="178">
                  <c:v>4652.8999999999996</c:v>
                </c:pt>
                <c:pt idx="179" formatCode="General">
                  <c:v>4656.8</c:v>
                </c:pt>
                <c:pt idx="180" formatCode="General">
                  <c:v>4669.3</c:v>
                </c:pt>
                <c:pt idx="181">
                  <c:v>4681.8</c:v>
                </c:pt>
                <c:pt idx="182">
                  <c:v>4681.88</c:v>
                </c:pt>
                <c:pt idx="183" formatCode="General">
                  <c:v>4694.3</c:v>
                </c:pt>
                <c:pt idx="184" formatCode="General">
                  <c:v>4706.8</c:v>
                </c:pt>
                <c:pt idx="185">
                  <c:v>4710.72</c:v>
                </c:pt>
                <c:pt idx="186">
                  <c:v>4719.3</c:v>
                </c:pt>
                <c:pt idx="187" formatCode="General">
                  <c:v>4724.3</c:v>
                </c:pt>
                <c:pt idx="188">
                  <c:v>4739.87</c:v>
                </c:pt>
                <c:pt idx="189">
                  <c:v>4768.9799999999996</c:v>
                </c:pt>
                <c:pt idx="190">
                  <c:v>4797.76</c:v>
                </c:pt>
                <c:pt idx="191">
                  <c:v>4826.84</c:v>
                </c:pt>
                <c:pt idx="192" formatCode="General">
                  <c:v>4854.8999999999996</c:v>
                </c:pt>
                <c:pt idx="193">
                  <c:v>4855.8500000000004</c:v>
                </c:pt>
                <c:pt idx="194" formatCode="General">
                  <c:v>4862.3999999999996</c:v>
                </c:pt>
                <c:pt idx="195">
                  <c:v>4874.8999999999996</c:v>
                </c:pt>
                <c:pt idx="196">
                  <c:v>4885.0200000000004</c:v>
                </c:pt>
                <c:pt idx="197" formatCode="General">
                  <c:v>4887.3999999999996</c:v>
                </c:pt>
                <c:pt idx="198" formatCode="General">
                  <c:v>4899.8999999999996</c:v>
                </c:pt>
                <c:pt idx="199">
                  <c:v>4912.3999999999996</c:v>
                </c:pt>
                <c:pt idx="200">
                  <c:v>4913.55</c:v>
                </c:pt>
                <c:pt idx="201" formatCode="General">
                  <c:v>4924.8999999999996</c:v>
                </c:pt>
                <c:pt idx="202" formatCode="General">
                  <c:v>4937.3999999999996</c:v>
                </c:pt>
                <c:pt idx="203">
                  <c:v>4942.6400000000003</c:v>
                </c:pt>
                <c:pt idx="204" formatCode="General">
                  <c:v>4949.8999999999996</c:v>
                </c:pt>
                <c:pt idx="205">
                  <c:v>4954.8999999999996</c:v>
                </c:pt>
                <c:pt idx="206">
                  <c:v>4962.3999999999996</c:v>
                </c:pt>
                <c:pt idx="207">
                  <c:v>4971.1099999999997</c:v>
                </c:pt>
                <c:pt idx="208">
                  <c:v>4974.8999999999996</c:v>
                </c:pt>
                <c:pt idx="209">
                  <c:v>4987.3999999999996</c:v>
                </c:pt>
                <c:pt idx="210">
                  <c:v>4999.8999999999996</c:v>
                </c:pt>
                <c:pt idx="211">
                  <c:v>5000.5200000000004</c:v>
                </c:pt>
                <c:pt idx="212" formatCode="General">
                  <c:v>5012.3999999999996</c:v>
                </c:pt>
                <c:pt idx="213" formatCode="General">
                  <c:v>5024.8999999999996</c:v>
                </c:pt>
                <c:pt idx="214">
                  <c:v>5029.5200000000004</c:v>
                </c:pt>
                <c:pt idx="215">
                  <c:v>5037.3999999999996</c:v>
                </c:pt>
                <c:pt idx="216" formatCode="General">
                  <c:v>5049.8999999999996</c:v>
                </c:pt>
                <c:pt idx="217" formatCode="General">
                  <c:v>5054.8999999999996</c:v>
                </c:pt>
                <c:pt idx="218">
                  <c:v>5057.6499999999996</c:v>
                </c:pt>
                <c:pt idx="219" formatCode="General">
                  <c:v>5062.3999999999996</c:v>
                </c:pt>
                <c:pt idx="220">
                  <c:v>5074.8999999999996</c:v>
                </c:pt>
                <c:pt idx="221">
                  <c:v>5085.29</c:v>
                </c:pt>
                <c:pt idx="222" formatCode="General">
                  <c:v>5087.3999999999996</c:v>
                </c:pt>
                <c:pt idx="223" formatCode="General">
                  <c:v>5099.8999999999996</c:v>
                </c:pt>
                <c:pt idx="224" formatCode="General">
                  <c:v>5104.8999999999996</c:v>
                </c:pt>
                <c:pt idx="225">
                  <c:v>5114.55</c:v>
                </c:pt>
                <c:pt idx="226">
                  <c:v>5143.82</c:v>
                </c:pt>
                <c:pt idx="227">
                  <c:v>5172.68</c:v>
                </c:pt>
                <c:pt idx="228">
                  <c:v>5201.7</c:v>
                </c:pt>
                <c:pt idx="229">
                  <c:v>5230.72</c:v>
                </c:pt>
                <c:pt idx="230">
                  <c:v>5241.3</c:v>
                </c:pt>
                <c:pt idx="231" formatCode="General">
                  <c:v>5248.8</c:v>
                </c:pt>
                <c:pt idx="232">
                  <c:v>5259.84</c:v>
                </c:pt>
                <c:pt idx="233" formatCode="General">
                  <c:v>5261.3</c:v>
                </c:pt>
                <c:pt idx="234">
                  <c:v>5273.8</c:v>
                </c:pt>
                <c:pt idx="235" formatCode="General">
                  <c:v>5286.3</c:v>
                </c:pt>
                <c:pt idx="236">
                  <c:v>5289.38</c:v>
                </c:pt>
                <c:pt idx="237">
                  <c:v>5291.3</c:v>
                </c:pt>
                <c:pt idx="238">
                  <c:v>5311.3</c:v>
                </c:pt>
                <c:pt idx="239" formatCode="General">
                  <c:v>5318.8</c:v>
                </c:pt>
                <c:pt idx="240">
                  <c:v>5318.84</c:v>
                </c:pt>
                <c:pt idx="241">
                  <c:v>5331.3</c:v>
                </c:pt>
                <c:pt idx="242" formatCode="General">
                  <c:v>5343.8</c:v>
                </c:pt>
                <c:pt idx="243">
                  <c:v>5348.37</c:v>
                </c:pt>
                <c:pt idx="244">
                  <c:v>5356.3</c:v>
                </c:pt>
                <c:pt idx="245">
                  <c:v>5377.69</c:v>
                </c:pt>
                <c:pt idx="246">
                  <c:v>5406.98</c:v>
                </c:pt>
                <c:pt idx="247">
                  <c:v>5428</c:v>
                </c:pt>
                <c:pt idx="248">
                  <c:v>5436.05</c:v>
                </c:pt>
                <c:pt idx="249">
                  <c:v>5438.8</c:v>
                </c:pt>
                <c:pt idx="250">
                  <c:v>5465.05</c:v>
                </c:pt>
                <c:pt idx="251">
                  <c:v>5493.82</c:v>
                </c:pt>
                <c:pt idx="252">
                  <c:v>5501.88</c:v>
                </c:pt>
              </c:numCache>
            </c:numRef>
          </c:xVal>
          <c:yVal>
            <c:numRef>
              <c:f>'LCa-3159 '!$Y$111:$Y$365</c:f>
              <c:numCache>
                <c:formatCode>0.00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1</c:v>
                </c:pt>
                <c:pt idx="238">
                  <c:v>1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A2-CD45-97E5-597EB725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412256"/>
        <c:axId val="1779890320"/>
      </c:scatterChart>
      <c:valAx>
        <c:axId val="1772757200"/>
        <c:scaling>
          <c:orientation val="minMax"/>
          <c:min val="29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O"/>
          </a:p>
        </c:txPr>
        <c:crossAx val="2108258560"/>
        <c:crosses val="autoZero"/>
        <c:crossBetween val="midCat"/>
      </c:valAx>
      <c:valAx>
        <c:axId val="2108258560"/>
        <c:scaling>
          <c:orientation val="minMax"/>
          <c:min val="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O"/>
          </a:p>
        </c:txPr>
        <c:crossAx val="1772757200"/>
        <c:crosses val="autoZero"/>
        <c:crossBetween val="midCat"/>
      </c:valAx>
      <c:valAx>
        <c:axId val="1779890320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O"/>
          </a:p>
        </c:txPr>
        <c:crossAx val="1780412256"/>
        <c:crosses val="max"/>
        <c:crossBetween val="midCat"/>
      </c:valAx>
      <c:valAx>
        <c:axId val="1780412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79890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O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Planned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'LCa-3159 '!$O$2:$O$363</c:f>
              <c:numCache>
                <c:formatCode>0.00</c:formatCode>
                <c:ptCount val="362"/>
                <c:pt idx="0">
                  <c:v>0</c:v>
                </c:pt>
                <c:pt idx="1">
                  <c:v>-0.03</c:v>
                </c:pt>
                <c:pt idx="2">
                  <c:v>-0.14000000000000001</c:v>
                </c:pt>
                <c:pt idx="3">
                  <c:v>-0.27</c:v>
                </c:pt>
                <c:pt idx="4">
                  <c:v>-0.33</c:v>
                </c:pt>
                <c:pt idx="5">
                  <c:v>-0.34</c:v>
                </c:pt>
                <c:pt idx="6">
                  <c:v>-0.36</c:v>
                </c:pt>
                <c:pt idx="7">
                  <c:v>-0.35</c:v>
                </c:pt>
                <c:pt idx="8">
                  <c:v>-0.31</c:v>
                </c:pt>
                <c:pt idx="9">
                  <c:v>-0.27</c:v>
                </c:pt>
                <c:pt idx="10">
                  <c:v>-0.22</c:v>
                </c:pt>
                <c:pt idx="11">
                  <c:v>-0.11</c:v>
                </c:pt>
                <c:pt idx="12">
                  <c:v>-7.0000000000000007E-2</c:v>
                </c:pt>
                <c:pt idx="13">
                  <c:v>-0.06</c:v>
                </c:pt>
                <c:pt idx="14">
                  <c:v>-7.0000000000000007E-2</c:v>
                </c:pt>
                <c:pt idx="15">
                  <c:v>-0.08</c:v>
                </c:pt>
                <c:pt idx="16">
                  <c:v>-0.11</c:v>
                </c:pt>
                <c:pt idx="17">
                  <c:v>-0.18</c:v>
                </c:pt>
                <c:pt idx="18">
                  <c:v>-0.23</c:v>
                </c:pt>
                <c:pt idx="19">
                  <c:v>-0.24</c:v>
                </c:pt>
                <c:pt idx="20">
                  <c:v>-0.25</c:v>
                </c:pt>
                <c:pt idx="21">
                  <c:v>-0.27</c:v>
                </c:pt>
                <c:pt idx="22">
                  <c:v>-0.31</c:v>
                </c:pt>
                <c:pt idx="23">
                  <c:v>-0.38</c:v>
                </c:pt>
                <c:pt idx="24">
                  <c:v>-0.42</c:v>
                </c:pt>
                <c:pt idx="25">
                  <c:v>-0.38</c:v>
                </c:pt>
                <c:pt idx="26">
                  <c:v>-0.31</c:v>
                </c:pt>
                <c:pt idx="27">
                  <c:v>-0.16</c:v>
                </c:pt>
                <c:pt idx="28">
                  <c:v>0</c:v>
                </c:pt>
                <c:pt idx="29">
                  <c:v>0.1</c:v>
                </c:pt>
                <c:pt idx="30">
                  <c:v>0.23</c:v>
                </c:pt>
                <c:pt idx="31">
                  <c:v>0.27</c:v>
                </c:pt>
                <c:pt idx="32">
                  <c:v>0.22</c:v>
                </c:pt>
                <c:pt idx="33">
                  <c:v>0.19</c:v>
                </c:pt>
                <c:pt idx="34">
                  <c:v>0.23</c:v>
                </c:pt>
                <c:pt idx="35">
                  <c:v>0.51</c:v>
                </c:pt>
                <c:pt idx="36">
                  <c:v>0.88</c:v>
                </c:pt>
                <c:pt idx="37">
                  <c:v>1.07</c:v>
                </c:pt>
                <c:pt idx="38">
                  <c:v>1.21</c:v>
                </c:pt>
                <c:pt idx="39">
                  <c:v>1.66</c:v>
                </c:pt>
                <c:pt idx="40">
                  <c:v>2.33</c:v>
                </c:pt>
                <c:pt idx="41">
                  <c:v>3.29</c:v>
                </c:pt>
                <c:pt idx="42">
                  <c:v>4.66</c:v>
                </c:pt>
                <c:pt idx="43">
                  <c:v>5.78</c:v>
                </c:pt>
                <c:pt idx="44">
                  <c:v>6.91</c:v>
                </c:pt>
                <c:pt idx="45">
                  <c:v>8.0299999999999994</c:v>
                </c:pt>
                <c:pt idx="46">
                  <c:v>9.11</c:v>
                </c:pt>
                <c:pt idx="47">
                  <c:v>10.16</c:v>
                </c:pt>
                <c:pt idx="48">
                  <c:v>11.23</c:v>
                </c:pt>
                <c:pt idx="49">
                  <c:v>12.2</c:v>
                </c:pt>
                <c:pt idx="50">
                  <c:v>12.99</c:v>
                </c:pt>
                <c:pt idx="51">
                  <c:v>13.51</c:v>
                </c:pt>
                <c:pt idx="52">
                  <c:v>14</c:v>
                </c:pt>
                <c:pt idx="53">
                  <c:v>14.5</c:v>
                </c:pt>
                <c:pt idx="54">
                  <c:v>14.98</c:v>
                </c:pt>
                <c:pt idx="55">
                  <c:v>15.48</c:v>
                </c:pt>
                <c:pt idx="56">
                  <c:v>16.010000000000002</c:v>
                </c:pt>
                <c:pt idx="57">
                  <c:v>16.579999999999998</c:v>
                </c:pt>
                <c:pt idx="58">
                  <c:v>17.149999999999999</c:v>
                </c:pt>
                <c:pt idx="59">
                  <c:v>17.63</c:v>
                </c:pt>
                <c:pt idx="60">
                  <c:v>18.010000000000002</c:v>
                </c:pt>
                <c:pt idx="61">
                  <c:v>18.21</c:v>
                </c:pt>
                <c:pt idx="62">
                  <c:v>18.059999999999999</c:v>
                </c:pt>
                <c:pt idx="63">
                  <c:v>17.75</c:v>
                </c:pt>
                <c:pt idx="64">
                  <c:v>17.57</c:v>
                </c:pt>
                <c:pt idx="65">
                  <c:v>17.420000000000002</c:v>
                </c:pt>
                <c:pt idx="66">
                  <c:v>17.29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16.78</c:v>
                </c:pt>
                <c:pt idx="70">
                  <c:v>16.63</c:v>
                </c:pt>
                <c:pt idx="71">
                  <c:v>16.55</c:v>
                </c:pt>
                <c:pt idx="72">
                  <c:v>16.53</c:v>
                </c:pt>
                <c:pt idx="73">
                  <c:v>16.53</c:v>
                </c:pt>
                <c:pt idx="74">
                  <c:v>16.53</c:v>
                </c:pt>
                <c:pt idx="75">
                  <c:v>16.53</c:v>
                </c:pt>
                <c:pt idx="76">
                  <c:v>16.53</c:v>
                </c:pt>
                <c:pt idx="77">
                  <c:v>16.53</c:v>
                </c:pt>
                <c:pt idx="78">
                  <c:v>16.53</c:v>
                </c:pt>
                <c:pt idx="79">
                  <c:v>16.53</c:v>
                </c:pt>
                <c:pt idx="80">
                  <c:v>16.53</c:v>
                </c:pt>
                <c:pt idx="81">
                  <c:v>16.53</c:v>
                </c:pt>
                <c:pt idx="82">
                  <c:v>16.53</c:v>
                </c:pt>
                <c:pt idx="83">
                  <c:v>16.53</c:v>
                </c:pt>
                <c:pt idx="84">
                  <c:v>16.53</c:v>
                </c:pt>
                <c:pt idx="85">
                  <c:v>16.53</c:v>
                </c:pt>
                <c:pt idx="86">
                  <c:v>16.53</c:v>
                </c:pt>
                <c:pt idx="87">
                  <c:v>16.53</c:v>
                </c:pt>
                <c:pt idx="88">
                  <c:v>16.53</c:v>
                </c:pt>
                <c:pt idx="89">
                  <c:v>16.53</c:v>
                </c:pt>
                <c:pt idx="90">
                  <c:v>16.53</c:v>
                </c:pt>
                <c:pt idx="91">
                  <c:v>16.53</c:v>
                </c:pt>
                <c:pt idx="92">
                  <c:v>16.53</c:v>
                </c:pt>
                <c:pt idx="93">
                  <c:v>16.53</c:v>
                </c:pt>
                <c:pt idx="94">
                  <c:v>16.79</c:v>
                </c:pt>
                <c:pt idx="95">
                  <c:v>19.89</c:v>
                </c:pt>
                <c:pt idx="96">
                  <c:v>26.48</c:v>
                </c:pt>
                <c:pt idx="97">
                  <c:v>36.47</c:v>
                </c:pt>
                <c:pt idx="98">
                  <c:v>49.71</c:v>
                </c:pt>
                <c:pt idx="99">
                  <c:v>66.03</c:v>
                </c:pt>
                <c:pt idx="100">
                  <c:v>85.19</c:v>
                </c:pt>
                <c:pt idx="101">
                  <c:v>106.93</c:v>
                </c:pt>
                <c:pt idx="102">
                  <c:v>130.94999999999999</c:v>
                </c:pt>
                <c:pt idx="105">
                  <c:v>156.91999999999999</c:v>
                </c:pt>
                <c:pt idx="110">
                  <c:v>184.46</c:v>
                </c:pt>
                <c:pt idx="113">
                  <c:v>213.21</c:v>
                </c:pt>
                <c:pt idx="116">
                  <c:v>242.76</c:v>
                </c:pt>
                <c:pt idx="120">
                  <c:v>269.85000000000002</c:v>
                </c:pt>
                <c:pt idx="122">
                  <c:v>272.7</c:v>
                </c:pt>
                <c:pt idx="123">
                  <c:v>289.17</c:v>
                </c:pt>
                <c:pt idx="124">
                  <c:v>302.7</c:v>
                </c:pt>
                <c:pt idx="125">
                  <c:v>332.7</c:v>
                </c:pt>
                <c:pt idx="126">
                  <c:v>362.7</c:v>
                </c:pt>
                <c:pt idx="127">
                  <c:v>392.7</c:v>
                </c:pt>
                <c:pt idx="130">
                  <c:v>422.7</c:v>
                </c:pt>
                <c:pt idx="133">
                  <c:v>452.7</c:v>
                </c:pt>
                <c:pt idx="136">
                  <c:v>482.7</c:v>
                </c:pt>
                <c:pt idx="140">
                  <c:v>512.70000000000005</c:v>
                </c:pt>
                <c:pt idx="144">
                  <c:v>542.70000000000005</c:v>
                </c:pt>
                <c:pt idx="147">
                  <c:v>572.70000000000005</c:v>
                </c:pt>
                <c:pt idx="150">
                  <c:v>602.70000000000005</c:v>
                </c:pt>
                <c:pt idx="154">
                  <c:v>632.70000000000005</c:v>
                </c:pt>
                <c:pt idx="155">
                  <c:v>662.7</c:v>
                </c:pt>
                <c:pt idx="158">
                  <c:v>692.7</c:v>
                </c:pt>
                <c:pt idx="161">
                  <c:v>722.7</c:v>
                </c:pt>
                <c:pt idx="165">
                  <c:v>752.69</c:v>
                </c:pt>
                <c:pt idx="169">
                  <c:v>782.69</c:v>
                </c:pt>
                <c:pt idx="172">
                  <c:v>812.69</c:v>
                </c:pt>
                <c:pt idx="176">
                  <c:v>842.69</c:v>
                </c:pt>
                <c:pt idx="179">
                  <c:v>872.69</c:v>
                </c:pt>
                <c:pt idx="183">
                  <c:v>902.69</c:v>
                </c:pt>
                <c:pt idx="187">
                  <c:v>932.69</c:v>
                </c:pt>
                <c:pt idx="189">
                  <c:v>962.69</c:v>
                </c:pt>
                <c:pt idx="190">
                  <c:v>992.69</c:v>
                </c:pt>
                <c:pt idx="191">
                  <c:v>1022.69</c:v>
                </c:pt>
                <c:pt idx="192">
                  <c:v>1052.69</c:v>
                </c:pt>
                <c:pt idx="193">
                  <c:v>1082.69</c:v>
                </c:pt>
                <c:pt idx="196">
                  <c:v>1112.69</c:v>
                </c:pt>
                <c:pt idx="199">
                  <c:v>1142.69</c:v>
                </c:pt>
                <c:pt idx="203">
                  <c:v>1172.69</c:v>
                </c:pt>
                <c:pt idx="207">
                  <c:v>1202.69</c:v>
                </c:pt>
                <c:pt idx="211">
                  <c:v>1232.69</c:v>
                </c:pt>
                <c:pt idx="215">
                  <c:v>1262.69</c:v>
                </c:pt>
                <c:pt idx="219">
                  <c:v>1292.69</c:v>
                </c:pt>
                <c:pt idx="223">
                  <c:v>1322.69</c:v>
                </c:pt>
                <c:pt idx="226">
                  <c:v>1352.69</c:v>
                </c:pt>
                <c:pt idx="229">
                  <c:v>1382.69</c:v>
                </c:pt>
                <c:pt idx="230">
                  <c:v>1412.69</c:v>
                </c:pt>
                <c:pt idx="231">
                  <c:v>1442.69</c:v>
                </c:pt>
                <c:pt idx="234">
                  <c:v>1472.69</c:v>
                </c:pt>
                <c:pt idx="237">
                  <c:v>1502.69</c:v>
                </c:pt>
                <c:pt idx="241">
                  <c:v>1532.69</c:v>
                </c:pt>
                <c:pt idx="245">
                  <c:v>1562.69</c:v>
                </c:pt>
                <c:pt idx="248">
                  <c:v>1592.69</c:v>
                </c:pt>
                <c:pt idx="252">
                  <c:v>1622.69</c:v>
                </c:pt>
                <c:pt idx="255">
                  <c:v>1652.69</c:v>
                </c:pt>
                <c:pt idx="259">
                  <c:v>1682.69</c:v>
                </c:pt>
                <c:pt idx="262">
                  <c:v>1712.69</c:v>
                </c:pt>
                <c:pt idx="266">
                  <c:v>1742.69</c:v>
                </c:pt>
                <c:pt idx="269">
                  <c:v>1772.69</c:v>
                </c:pt>
                <c:pt idx="273">
                  <c:v>1802.69</c:v>
                </c:pt>
                <c:pt idx="277">
                  <c:v>1832.69</c:v>
                </c:pt>
                <c:pt idx="280">
                  <c:v>1862.69</c:v>
                </c:pt>
                <c:pt idx="283">
                  <c:v>1892.69</c:v>
                </c:pt>
                <c:pt idx="287">
                  <c:v>1922.69</c:v>
                </c:pt>
                <c:pt idx="291">
                  <c:v>1952.69</c:v>
                </c:pt>
                <c:pt idx="294">
                  <c:v>1982.69</c:v>
                </c:pt>
                <c:pt idx="297">
                  <c:v>2012.68</c:v>
                </c:pt>
                <c:pt idx="298">
                  <c:v>2042.68</c:v>
                </c:pt>
                <c:pt idx="299">
                  <c:v>2072.6799999999998</c:v>
                </c:pt>
                <c:pt idx="300">
                  <c:v>2102.6799999999998</c:v>
                </c:pt>
                <c:pt idx="302">
                  <c:v>2132.6799999999998</c:v>
                </c:pt>
                <c:pt idx="305">
                  <c:v>2162.6799999999998</c:v>
                </c:pt>
                <c:pt idx="309">
                  <c:v>2192.6799999999998</c:v>
                </c:pt>
                <c:pt idx="312">
                  <c:v>2222.6799999999998</c:v>
                </c:pt>
                <c:pt idx="316">
                  <c:v>2252.6799999999998</c:v>
                </c:pt>
                <c:pt idx="320">
                  <c:v>2282.6799999999998</c:v>
                </c:pt>
                <c:pt idx="323">
                  <c:v>2312.6799999999998</c:v>
                </c:pt>
                <c:pt idx="327">
                  <c:v>2342.6799999999998</c:v>
                </c:pt>
                <c:pt idx="330">
                  <c:v>2372.6799999999998</c:v>
                </c:pt>
                <c:pt idx="334">
                  <c:v>2402.6799999999998</c:v>
                </c:pt>
                <c:pt idx="335">
                  <c:v>2432.6799999999998</c:v>
                </c:pt>
                <c:pt idx="336">
                  <c:v>2462.6799999999998</c:v>
                </c:pt>
                <c:pt idx="337">
                  <c:v>2492.6799999999998</c:v>
                </c:pt>
                <c:pt idx="338">
                  <c:v>2522.6799999999998</c:v>
                </c:pt>
                <c:pt idx="341">
                  <c:v>2552.6799999999998</c:v>
                </c:pt>
                <c:pt idx="345">
                  <c:v>2582.6799999999998</c:v>
                </c:pt>
                <c:pt idx="349">
                  <c:v>2612.6799999999998</c:v>
                </c:pt>
                <c:pt idx="352">
                  <c:v>2642.68</c:v>
                </c:pt>
                <c:pt idx="354">
                  <c:v>2672.68</c:v>
                </c:pt>
                <c:pt idx="355">
                  <c:v>2702.68</c:v>
                </c:pt>
                <c:pt idx="357">
                  <c:v>2732.68</c:v>
                </c:pt>
                <c:pt idx="359">
                  <c:v>2762.68</c:v>
                </c:pt>
                <c:pt idx="360">
                  <c:v>2792.68</c:v>
                </c:pt>
                <c:pt idx="361">
                  <c:v>2822.68</c:v>
                </c:pt>
              </c:numCache>
            </c:numRef>
          </c:xVal>
          <c:yVal>
            <c:numRef>
              <c:f>'LCa-3159 '!$P$2:$P$363</c:f>
              <c:numCache>
                <c:formatCode>0.00</c:formatCode>
                <c:ptCount val="362"/>
                <c:pt idx="0">
                  <c:v>0</c:v>
                </c:pt>
                <c:pt idx="1">
                  <c:v>0.08</c:v>
                </c:pt>
                <c:pt idx="2">
                  <c:v>0.27</c:v>
                </c:pt>
                <c:pt idx="3">
                  <c:v>0.46</c:v>
                </c:pt>
                <c:pt idx="4">
                  <c:v>0.6</c:v>
                </c:pt>
                <c:pt idx="5">
                  <c:v>0.68</c:v>
                </c:pt>
                <c:pt idx="6">
                  <c:v>0.73</c:v>
                </c:pt>
                <c:pt idx="7">
                  <c:v>0.78</c:v>
                </c:pt>
                <c:pt idx="8">
                  <c:v>0.84</c:v>
                </c:pt>
                <c:pt idx="9">
                  <c:v>0.84</c:v>
                </c:pt>
                <c:pt idx="10">
                  <c:v>0.83</c:v>
                </c:pt>
                <c:pt idx="11">
                  <c:v>0.86</c:v>
                </c:pt>
                <c:pt idx="12">
                  <c:v>0.88</c:v>
                </c:pt>
                <c:pt idx="13">
                  <c:v>0.95</c:v>
                </c:pt>
                <c:pt idx="14">
                  <c:v>1</c:v>
                </c:pt>
                <c:pt idx="15">
                  <c:v>0.95</c:v>
                </c:pt>
                <c:pt idx="16">
                  <c:v>0.88</c:v>
                </c:pt>
                <c:pt idx="17">
                  <c:v>0.74</c:v>
                </c:pt>
                <c:pt idx="18">
                  <c:v>0.56000000000000005</c:v>
                </c:pt>
                <c:pt idx="19">
                  <c:v>0.45</c:v>
                </c:pt>
                <c:pt idx="20">
                  <c:v>0.39</c:v>
                </c:pt>
                <c:pt idx="21">
                  <c:v>0.37</c:v>
                </c:pt>
                <c:pt idx="22">
                  <c:v>0.37</c:v>
                </c:pt>
                <c:pt idx="23">
                  <c:v>0.37</c:v>
                </c:pt>
                <c:pt idx="24">
                  <c:v>0.4</c:v>
                </c:pt>
                <c:pt idx="25">
                  <c:v>0.44</c:v>
                </c:pt>
                <c:pt idx="26">
                  <c:v>0.46</c:v>
                </c:pt>
                <c:pt idx="27">
                  <c:v>0.45</c:v>
                </c:pt>
                <c:pt idx="28">
                  <c:v>0.63</c:v>
                </c:pt>
                <c:pt idx="29">
                  <c:v>1.41</c:v>
                </c:pt>
                <c:pt idx="30">
                  <c:v>2.92</c:v>
                </c:pt>
                <c:pt idx="31">
                  <c:v>5.23</c:v>
                </c:pt>
                <c:pt idx="32">
                  <c:v>8.33</c:v>
                </c:pt>
                <c:pt idx="33">
                  <c:v>12.18</c:v>
                </c:pt>
                <c:pt idx="34">
                  <c:v>16.73</c:v>
                </c:pt>
                <c:pt idx="35">
                  <c:v>22.09</c:v>
                </c:pt>
                <c:pt idx="36">
                  <c:v>28.17</c:v>
                </c:pt>
                <c:pt idx="37">
                  <c:v>34.83</c:v>
                </c:pt>
                <c:pt idx="38">
                  <c:v>41.93</c:v>
                </c:pt>
                <c:pt idx="39">
                  <c:v>49.87</c:v>
                </c:pt>
                <c:pt idx="40">
                  <c:v>56.56</c:v>
                </c:pt>
                <c:pt idx="41">
                  <c:v>64.56</c:v>
                </c:pt>
                <c:pt idx="42">
                  <c:v>75.17</c:v>
                </c:pt>
                <c:pt idx="43">
                  <c:v>83.53</c:v>
                </c:pt>
                <c:pt idx="44">
                  <c:v>91.48</c:v>
                </c:pt>
                <c:pt idx="45">
                  <c:v>98.56</c:v>
                </c:pt>
                <c:pt idx="46">
                  <c:v>105</c:v>
                </c:pt>
                <c:pt idx="47">
                  <c:v>111.26</c:v>
                </c:pt>
                <c:pt idx="48">
                  <c:v>117.69</c:v>
                </c:pt>
                <c:pt idx="49">
                  <c:v>123.4</c:v>
                </c:pt>
                <c:pt idx="50">
                  <c:v>129.21</c:v>
                </c:pt>
                <c:pt idx="51">
                  <c:v>135</c:v>
                </c:pt>
                <c:pt idx="52">
                  <c:v>140.55000000000001</c:v>
                </c:pt>
                <c:pt idx="53">
                  <c:v>145.80000000000001</c:v>
                </c:pt>
                <c:pt idx="54">
                  <c:v>150.77000000000001</c:v>
                </c:pt>
                <c:pt idx="55">
                  <c:v>155.52000000000001</c:v>
                </c:pt>
                <c:pt idx="56">
                  <c:v>160.16999999999999</c:v>
                </c:pt>
                <c:pt idx="57">
                  <c:v>164.76</c:v>
                </c:pt>
                <c:pt idx="58">
                  <c:v>169.19</c:v>
                </c:pt>
                <c:pt idx="59">
                  <c:v>173.19</c:v>
                </c:pt>
                <c:pt idx="60">
                  <c:v>176.68</c:v>
                </c:pt>
                <c:pt idx="61">
                  <c:v>179.72</c:v>
                </c:pt>
                <c:pt idx="62">
                  <c:v>181.98</c:v>
                </c:pt>
                <c:pt idx="63">
                  <c:v>183.9</c:v>
                </c:pt>
                <c:pt idx="64">
                  <c:v>185.15</c:v>
                </c:pt>
                <c:pt idx="65">
                  <c:v>186.17</c:v>
                </c:pt>
                <c:pt idx="66">
                  <c:v>187.06</c:v>
                </c:pt>
                <c:pt idx="67">
                  <c:v>188.72</c:v>
                </c:pt>
                <c:pt idx="68">
                  <c:v>188.98</c:v>
                </c:pt>
                <c:pt idx="69">
                  <c:v>190.56</c:v>
                </c:pt>
                <c:pt idx="70">
                  <c:v>191.63</c:v>
                </c:pt>
                <c:pt idx="71">
                  <c:v>192.19</c:v>
                </c:pt>
                <c:pt idx="72">
                  <c:v>192.27</c:v>
                </c:pt>
                <c:pt idx="73">
                  <c:v>192.27</c:v>
                </c:pt>
                <c:pt idx="74">
                  <c:v>192.27</c:v>
                </c:pt>
                <c:pt idx="75">
                  <c:v>192.27</c:v>
                </c:pt>
                <c:pt idx="76">
                  <c:v>192.27</c:v>
                </c:pt>
                <c:pt idx="77">
                  <c:v>192.27</c:v>
                </c:pt>
                <c:pt idx="78">
                  <c:v>192.27</c:v>
                </c:pt>
                <c:pt idx="79">
                  <c:v>192.27</c:v>
                </c:pt>
                <c:pt idx="80">
                  <c:v>192.27</c:v>
                </c:pt>
                <c:pt idx="81">
                  <c:v>192.27</c:v>
                </c:pt>
                <c:pt idx="82">
                  <c:v>192.27</c:v>
                </c:pt>
                <c:pt idx="83">
                  <c:v>192.27</c:v>
                </c:pt>
                <c:pt idx="84">
                  <c:v>192.27</c:v>
                </c:pt>
                <c:pt idx="85">
                  <c:v>192.27</c:v>
                </c:pt>
                <c:pt idx="86">
                  <c:v>192.27</c:v>
                </c:pt>
                <c:pt idx="87">
                  <c:v>192.27</c:v>
                </c:pt>
                <c:pt idx="88">
                  <c:v>192.27</c:v>
                </c:pt>
                <c:pt idx="89">
                  <c:v>192.27</c:v>
                </c:pt>
                <c:pt idx="90">
                  <c:v>192.27</c:v>
                </c:pt>
                <c:pt idx="91">
                  <c:v>192.27</c:v>
                </c:pt>
                <c:pt idx="92">
                  <c:v>192.27</c:v>
                </c:pt>
                <c:pt idx="93">
                  <c:v>192.27</c:v>
                </c:pt>
                <c:pt idx="94">
                  <c:v>192.27</c:v>
                </c:pt>
                <c:pt idx="95">
                  <c:v>192.22</c:v>
                </c:pt>
                <c:pt idx="96">
                  <c:v>192.11</c:v>
                </c:pt>
                <c:pt idx="97">
                  <c:v>191.95</c:v>
                </c:pt>
                <c:pt idx="98">
                  <c:v>191.74</c:v>
                </c:pt>
                <c:pt idx="99">
                  <c:v>191.48</c:v>
                </c:pt>
                <c:pt idx="100">
                  <c:v>191.17</c:v>
                </c:pt>
                <c:pt idx="101">
                  <c:v>190.82</c:v>
                </c:pt>
                <c:pt idx="102">
                  <c:v>190.44</c:v>
                </c:pt>
                <c:pt idx="105">
                  <c:v>190.03</c:v>
                </c:pt>
                <c:pt idx="110">
                  <c:v>189.58</c:v>
                </c:pt>
                <c:pt idx="113">
                  <c:v>189.12</c:v>
                </c:pt>
                <c:pt idx="116">
                  <c:v>188.65</c:v>
                </c:pt>
                <c:pt idx="120">
                  <c:v>188.22</c:v>
                </c:pt>
                <c:pt idx="122">
                  <c:v>188.18</c:v>
                </c:pt>
                <c:pt idx="123">
                  <c:v>188.07</c:v>
                </c:pt>
                <c:pt idx="124">
                  <c:v>188.09</c:v>
                </c:pt>
                <c:pt idx="125">
                  <c:v>188.11</c:v>
                </c:pt>
                <c:pt idx="126">
                  <c:v>188.14</c:v>
                </c:pt>
                <c:pt idx="127">
                  <c:v>188.16</c:v>
                </c:pt>
                <c:pt idx="130">
                  <c:v>188.19</c:v>
                </c:pt>
                <c:pt idx="133">
                  <c:v>188.22</c:v>
                </c:pt>
                <c:pt idx="136">
                  <c:v>188.24</c:v>
                </c:pt>
                <c:pt idx="140">
                  <c:v>188.27</c:v>
                </c:pt>
                <c:pt idx="144">
                  <c:v>188.3</c:v>
                </c:pt>
                <c:pt idx="147">
                  <c:v>188.32</c:v>
                </c:pt>
                <c:pt idx="150">
                  <c:v>188.35</c:v>
                </c:pt>
                <c:pt idx="154">
                  <c:v>188.37</c:v>
                </c:pt>
                <c:pt idx="155">
                  <c:v>188.4</c:v>
                </c:pt>
                <c:pt idx="158">
                  <c:v>188.43</c:v>
                </c:pt>
                <c:pt idx="161">
                  <c:v>188.45</c:v>
                </c:pt>
                <c:pt idx="165">
                  <c:v>188.48</c:v>
                </c:pt>
                <c:pt idx="169">
                  <c:v>188.51</c:v>
                </c:pt>
                <c:pt idx="172">
                  <c:v>188.53</c:v>
                </c:pt>
                <c:pt idx="176">
                  <c:v>188.56</c:v>
                </c:pt>
                <c:pt idx="179">
                  <c:v>188.58</c:v>
                </c:pt>
                <c:pt idx="183">
                  <c:v>188.61</c:v>
                </c:pt>
                <c:pt idx="187">
                  <c:v>188.64</c:v>
                </c:pt>
                <c:pt idx="189">
                  <c:v>188.66</c:v>
                </c:pt>
                <c:pt idx="190">
                  <c:v>188.69</c:v>
                </c:pt>
                <c:pt idx="191">
                  <c:v>188.72</c:v>
                </c:pt>
                <c:pt idx="192">
                  <c:v>188.74</c:v>
                </c:pt>
                <c:pt idx="193">
                  <c:v>188.77</c:v>
                </c:pt>
                <c:pt idx="196">
                  <c:v>188.79</c:v>
                </c:pt>
                <c:pt idx="199">
                  <c:v>188.82</c:v>
                </c:pt>
                <c:pt idx="203">
                  <c:v>188.85</c:v>
                </c:pt>
                <c:pt idx="207">
                  <c:v>188.87</c:v>
                </c:pt>
                <c:pt idx="211">
                  <c:v>188.9</c:v>
                </c:pt>
                <c:pt idx="215">
                  <c:v>188.93</c:v>
                </c:pt>
                <c:pt idx="219">
                  <c:v>188.95</c:v>
                </c:pt>
                <c:pt idx="223">
                  <c:v>188.98</c:v>
                </c:pt>
                <c:pt idx="226">
                  <c:v>189</c:v>
                </c:pt>
                <c:pt idx="229">
                  <c:v>189.03</c:v>
                </c:pt>
                <c:pt idx="230">
                  <c:v>189.06</c:v>
                </c:pt>
                <c:pt idx="231">
                  <c:v>189.08</c:v>
                </c:pt>
                <c:pt idx="234">
                  <c:v>189.11</c:v>
                </c:pt>
                <c:pt idx="237">
                  <c:v>189.14</c:v>
                </c:pt>
                <c:pt idx="241">
                  <c:v>189.16</c:v>
                </c:pt>
                <c:pt idx="245">
                  <c:v>189.19</c:v>
                </c:pt>
                <c:pt idx="248">
                  <c:v>189.22</c:v>
                </c:pt>
                <c:pt idx="252">
                  <c:v>189.24</c:v>
                </c:pt>
                <c:pt idx="255">
                  <c:v>189.27</c:v>
                </c:pt>
                <c:pt idx="259">
                  <c:v>189.29</c:v>
                </c:pt>
                <c:pt idx="262">
                  <c:v>189.32</c:v>
                </c:pt>
                <c:pt idx="266">
                  <c:v>189.35</c:v>
                </c:pt>
                <c:pt idx="269">
                  <c:v>189.37</c:v>
                </c:pt>
                <c:pt idx="273">
                  <c:v>189.4</c:v>
                </c:pt>
                <c:pt idx="277">
                  <c:v>189.43</c:v>
                </c:pt>
                <c:pt idx="280">
                  <c:v>189.45</c:v>
                </c:pt>
                <c:pt idx="283">
                  <c:v>189.48</c:v>
                </c:pt>
                <c:pt idx="287">
                  <c:v>189.5</c:v>
                </c:pt>
                <c:pt idx="291">
                  <c:v>189.53</c:v>
                </c:pt>
                <c:pt idx="294">
                  <c:v>189.56</c:v>
                </c:pt>
                <c:pt idx="297">
                  <c:v>189.58</c:v>
                </c:pt>
                <c:pt idx="298">
                  <c:v>189.61</c:v>
                </c:pt>
                <c:pt idx="299">
                  <c:v>189.64</c:v>
                </c:pt>
                <c:pt idx="300">
                  <c:v>189.66</c:v>
                </c:pt>
                <c:pt idx="302">
                  <c:v>189.69</c:v>
                </c:pt>
                <c:pt idx="305">
                  <c:v>189.71</c:v>
                </c:pt>
                <c:pt idx="309">
                  <c:v>189.74</c:v>
                </c:pt>
                <c:pt idx="312">
                  <c:v>189.77</c:v>
                </c:pt>
                <c:pt idx="316">
                  <c:v>189.79</c:v>
                </c:pt>
                <c:pt idx="320">
                  <c:v>189.82</c:v>
                </c:pt>
                <c:pt idx="323">
                  <c:v>189.85</c:v>
                </c:pt>
                <c:pt idx="327">
                  <c:v>189.87</c:v>
                </c:pt>
                <c:pt idx="330">
                  <c:v>189.9</c:v>
                </c:pt>
                <c:pt idx="334">
                  <c:v>189.92</c:v>
                </c:pt>
                <c:pt idx="335">
                  <c:v>189.95</c:v>
                </c:pt>
                <c:pt idx="336">
                  <c:v>189.98</c:v>
                </c:pt>
                <c:pt idx="337">
                  <c:v>190</c:v>
                </c:pt>
                <c:pt idx="338">
                  <c:v>190.03</c:v>
                </c:pt>
                <c:pt idx="341">
                  <c:v>190.06</c:v>
                </c:pt>
                <c:pt idx="345">
                  <c:v>190.08</c:v>
                </c:pt>
                <c:pt idx="349">
                  <c:v>190.11</c:v>
                </c:pt>
                <c:pt idx="352">
                  <c:v>190.14</c:v>
                </c:pt>
                <c:pt idx="354">
                  <c:v>190.16</c:v>
                </c:pt>
                <c:pt idx="355">
                  <c:v>190.19</c:v>
                </c:pt>
                <c:pt idx="357">
                  <c:v>190.21</c:v>
                </c:pt>
                <c:pt idx="359">
                  <c:v>190.24</c:v>
                </c:pt>
                <c:pt idx="360">
                  <c:v>190.27</c:v>
                </c:pt>
                <c:pt idx="361">
                  <c:v>190.29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B2-B747-824A-397B6C7265B8}"/>
            </c:ext>
          </c:extLst>
        </c:ser>
        <c:ser>
          <c:idx val="1"/>
          <c:order val="1"/>
          <c:tx>
            <c:v>Actual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'LCa-3159 '!$F$2:$F$363</c:f>
              <c:numCache>
                <c:formatCode>0.00</c:formatCode>
                <c:ptCount val="362"/>
                <c:pt idx="0">
                  <c:v>0</c:v>
                </c:pt>
                <c:pt idx="1">
                  <c:v>-0.03</c:v>
                </c:pt>
                <c:pt idx="2">
                  <c:v>-0.14000000000000001</c:v>
                </c:pt>
                <c:pt idx="3">
                  <c:v>-0.27</c:v>
                </c:pt>
                <c:pt idx="4">
                  <c:v>-0.33</c:v>
                </c:pt>
                <c:pt idx="5">
                  <c:v>-0.34</c:v>
                </c:pt>
                <c:pt idx="6">
                  <c:v>-0.36</c:v>
                </c:pt>
                <c:pt idx="7">
                  <c:v>-0.35</c:v>
                </c:pt>
                <c:pt idx="8">
                  <c:v>-0.31</c:v>
                </c:pt>
                <c:pt idx="9">
                  <c:v>-0.27</c:v>
                </c:pt>
                <c:pt idx="10">
                  <c:v>-0.22</c:v>
                </c:pt>
                <c:pt idx="11">
                  <c:v>-0.11</c:v>
                </c:pt>
                <c:pt idx="12">
                  <c:v>-7.0000000000000007E-2</c:v>
                </c:pt>
                <c:pt idx="13">
                  <c:v>-0.06</c:v>
                </c:pt>
                <c:pt idx="14">
                  <c:v>-7.0000000000000007E-2</c:v>
                </c:pt>
                <c:pt idx="15">
                  <c:v>-0.08</c:v>
                </c:pt>
                <c:pt idx="16">
                  <c:v>-0.11</c:v>
                </c:pt>
                <c:pt idx="17">
                  <c:v>-0.18</c:v>
                </c:pt>
                <c:pt idx="18">
                  <c:v>-0.23</c:v>
                </c:pt>
                <c:pt idx="19">
                  <c:v>-0.24</c:v>
                </c:pt>
                <c:pt idx="20">
                  <c:v>-0.25</c:v>
                </c:pt>
                <c:pt idx="21">
                  <c:v>-0.27</c:v>
                </c:pt>
                <c:pt idx="22">
                  <c:v>-0.31</c:v>
                </c:pt>
                <c:pt idx="23">
                  <c:v>-0.38</c:v>
                </c:pt>
                <c:pt idx="24">
                  <c:v>-0.42</c:v>
                </c:pt>
                <c:pt idx="25">
                  <c:v>-0.38</c:v>
                </c:pt>
                <c:pt idx="26">
                  <c:v>-0.31</c:v>
                </c:pt>
                <c:pt idx="27">
                  <c:v>-0.16</c:v>
                </c:pt>
                <c:pt idx="28">
                  <c:v>0</c:v>
                </c:pt>
                <c:pt idx="29">
                  <c:v>0.1</c:v>
                </c:pt>
                <c:pt idx="30">
                  <c:v>0.23</c:v>
                </c:pt>
                <c:pt idx="31">
                  <c:v>0.27</c:v>
                </c:pt>
                <c:pt idx="32">
                  <c:v>0.22</c:v>
                </c:pt>
                <c:pt idx="33">
                  <c:v>0.19</c:v>
                </c:pt>
                <c:pt idx="34">
                  <c:v>0.23</c:v>
                </c:pt>
                <c:pt idx="35">
                  <c:v>0.51</c:v>
                </c:pt>
                <c:pt idx="36">
                  <c:v>0.88</c:v>
                </c:pt>
                <c:pt idx="37">
                  <c:v>1.07</c:v>
                </c:pt>
                <c:pt idx="38">
                  <c:v>1.21</c:v>
                </c:pt>
                <c:pt idx="39">
                  <c:v>1.66</c:v>
                </c:pt>
                <c:pt idx="40">
                  <c:v>2.5</c:v>
                </c:pt>
                <c:pt idx="41">
                  <c:v>3.52</c:v>
                </c:pt>
                <c:pt idx="42">
                  <c:v>4.5999999999999996</c:v>
                </c:pt>
                <c:pt idx="43">
                  <c:v>5.72</c:v>
                </c:pt>
                <c:pt idx="44">
                  <c:v>6.86</c:v>
                </c:pt>
                <c:pt idx="45">
                  <c:v>7.97</c:v>
                </c:pt>
                <c:pt idx="46">
                  <c:v>9.0500000000000007</c:v>
                </c:pt>
                <c:pt idx="47">
                  <c:v>10.1</c:v>
                </c:pt>
                <c:pt idx="48">
                  <c:v>11.17</c:v>
                </c:pt>
                <c:pt idx="49">
                  <c:v>12.14</c:v>
                </c:pt>
                <c:pt idx="50">
                  <c:v>12.93</c:v>
                </c:pt>
                <c:pt idx="51">
                  <c:v>13.45</c:v>
                </c:pt>
                <c:pt idx="52">
                  <c:v>13.94</c:v>
                </c:pt>
                <c:pt idx="53">
                  <c:v>14.44</c:v>
                </c:pt>
                <c:pt idx="54">
                  <c:v>14.93</c:v>
                </c:pt>
                <c:pt idx="55">
                  <c:v>15.42</c:v>
                </c:pt>
                <c:pt idx="56">
                  <c:v>15.95</c:v>
                </c:pt>
                <c:pt idx="57">
                  <c:v>16.52</c:v>
                </c:pt>
                <c:pt idx="58">
                  <c:v>17.09</c:v>
                </c:pt>
                <c:pt idx="59">
                  <c:v>17.57</c:v>
                </c:pt>
                <c:pt idx="60">
                  <c:v>17.95</c:v>
                </c:pt>
                <c:pt idx="61">
                  <c:v>18.149999999999999</c:v>
                </c:pt>
                <c:pt idx="62">
                  <c:v>18</c:v>
                </c:pt>
                <c:pt idx="63">
                  <c:v>17.690000000000001</c:v>
                </c:pt>
                <c:pt idx="64">
                  <c:v>17.510000000000002</c:v>
                </c:pt>
                <c:pt idx="65">
                  <c:v>17.16</c:v>
                </c:pt>
                <c:pt idx="66">
                  <c:v>16.71</c:v>
                </c:pt>
                <c:pt idx="67">
                  <c:v>16.14</c:v>
                </c:pt>
                <c:pt idx="68">
                  <c:v>15.61</c:v>
                </c:pt>
                <c:pt idx="69">
                  <c:v>15.07</c:v>
                </c:pt>
                <c:pt idx="70">
                  <c:v>14.53</c:v>
                </c:pt>
                <c:pt idx="71">
                  <c:v>14.08</c:v>
                </c:pt>
                <c:pt idx="72">
                  <c:v>13.66</c:v>
                </c:pt>
                <c:pt idx="73">
                  <c:v>13.25</c:v>
                </c:pt>
                <c:pt idx="74">
                  <c:v>12.87</c:v>
                </c:pt>
                <c:pt idx="75">
                  <c:v>12.45</c:v>
                </c:pt>
                <c:pt idx="76">
                  <c:v>12.09</c:v>
                </c:pt>
                <c:pt idx="77">
                  <c:v>12.02</c:v>
                </c:pt>
                <c:pt idx="78">
                  <c:v>11.66</c:v>
                </c:pt>
                <c:pt idx="79">
                  <c:v>11.34</c:v>
                </c:pt>
                <c:pt idx="80">
                  <c:v>10.97</c:v>
                </c:pt>
                <c:pt idx="81">
                  <c:v>10.54</c:v>
                </c:pt>
                <c:pt idx="82">
                  <c:v>10.17</c:v>
                </c:pt>
                <c:pt idx="83">
                  <c:v>9.83</c:v>
                </c:pt>
                <c:pt idx="84">
                  <c:v>9.48</c:v>
                </c:pt>
                <c:pt idx="85">
                  <c:v>9.2200000000000006</c:v>
                </c:pt>
                <c:pt idx="86">
                  <c:v>9.0500000000000007</c:v>
                </c:pt>
                <c:pt idx="87">
                  <c:v>8.9499999999999993</c:v>
                </c:pt>
                <c:pt idx="88">
                  <c:v>8.94</c:v>
                </c:pt>
                <c:pt idx="89">
                  <c:v>9.59</c:v>
                </c:pt>
                <c:pt idx="90">
                  <c:v>12.51</c:v>
                </c:pt>
                <c:pt idx="91">
                  <c:v>17.940000000000001</c:v>
                </c:pt>
                <c:pt idx="92">
                  <c:v>25.03</c:v>
                </c:pt>
                <c:pt idx="93">
                  <c:v>33.99</c:v>
                </c:pt>
                <c:pt idx="94">
                  <c:v>45.79</c:v>
                </c:pt>
                <c:pt idx="95">
                  <c:v>60.07</c:v>
                </c:pt>
                <c:pt idx="96">
                  <c:v>76.72</c:v>
                </c:pt>
                <c:pt idx="97">
                  <c:v>95.76</c:v>
                </c:pt>
                <c:pt idx="98">
                  <c:v>117.47</c:v>
                </c:pt>
                <c:pt idx="99">
                  <c:v>141.11000000000001</c:v>
                </c:pt>
                <c:pt idx="100">
                  <c:v>166.34</c:v>
                </c:pt>
                <c:pt idx="101">
                  <c:v>192.84</c:v>
                </c:pt>
                <c:pt idx="102">
                  <c:v>220.44</c:v>
                </c:pt>
                <c:pt idx="105">
                  <c:v>248.89</c:v>
                </c:pt>
                <c:pt idx="110">
                  <c:v>277.85000000000002</c:v>
                </c:pt>
                <c:pt idx="113">
                  <c:v>306.99</c:v>
                </c:pt>
                <c:pt idx="116">
                  <c:v>336.1</c:v>
                </c:pt>
                <c:pt idx="120">
                  <c:v>365.3</c:v>
                </c:pt>
                <c:pt idx="122">
                  <c:v>394.52</c:v>
                </c:pt>
                <c:pt idx="123">
                  <c:v>423.79</c:v>
                </c:pt>
                <c:pt idx="124">
                  <c:v>445.83</c:v>
                </c:pt>
                <c:pt idx="125">
                  <c:v>465.54</c:v>
                </c:pt>
                <c:pt idx="126">
                  <c:v>493.67</c:v>
                </c:pt>
                <c:pt idx="127">
                  <c:v>522.91</c:v>
                </c:pt>
                <c:pt idx="130">
                  <c:v>551.98</c:v>
                </c:pt>
                <c:pt idx="133">
                  <c:v>580.88</c:v>
                </c:pt>
                <c:pt idx="136">
                  <c:v>609.66999999999996</c:v>
                </c:pt>
                <c:pt idx="140">
                  <c:v>638.73</c:v>
                </c:pt>
                <c:pt idx="144">
                  <c:v>667.73</c:v>
                </c:pt>
                <c:pt idx="147">
                  <c:v>696.62</c:v>
                </c:pt>
                <c:pt idx="150">
                  <c:v>725.58</c:v>
                </c:pt>
                <c:pt idx="154">
                  <c:v>754.66</c:v>
                </c:pt>
                <c:pt idx="155">
                  <c:v>783.22</c:v>
                </c:pt>
                <c:pt idx="158">
                  <c:v>812.48</c:v>
                </c:pt>
                <c:pt idx="161">
                  <c:v>841.41</c:v>
                </c:pt>
                <c:pt idx="165">
                  <c:v>870.5</c:v>
                </c:pt>
                <c:pt idx="169">
                  <c:v>899.41</c:v>
                </c:pt>
                <c:pt idx="172">
                  <c:v>928.27</c:v>
                </c:pt>
                <c:pt idx="176">
                  <c:v>957.03</c:v>
                </c:pt>
                <c:pt idx="179">
                  <c:v>985.79</c:v>
                </c:pt>
                <c:pt idx="183">
                  <c:v>1014.75</c:v>
                </c:pt>
                <c:pt idx="187">
                  <c:v>1043.71</c:v>
                </c:pt>
                <c:pt idx="189">
                  <c:v>1066.6199999999999</c:v>
                </c:pt>
                <c:pt idx="190">
                  <c:v>1096.06</c:v>
                </c:pt>
                <c:pt idx="191">
                  <c:v>1125.27</c:v>
                </c:pt>
                <c:pt idx="192">
                  <c:v>1154.1600000000001</c:v>
                </c:pt>
                <c:pt idx="193">
                  <c:v>1183.1600000000001</c:v>
                </c:pt>
                <c:pt idx="196">
                  <c:v>1212.08</c:v>
                </c:pt>
                <c:pt idx="199">
                  <c:v>1241.25</c:v>
                </c:pt>
                <c:pt idx="203">
                  <c:v>1269.97</c:v>
                </c:pt>
                <c:pt idx="207">
                  <c:v>1298.77</c:v>
                </c:pt>
                <c:pt idx="211">
                  <c:v>1327.79</c:v>
                </c:pt>
                <c:pt idx="215">
                  <c:v>1356.81</c:v>
                </c:pt>
                <c:pt idx="219">
                  <c:v>1385.79</c:v>
                </c:pt>
                <c:pt idx="223">
                  <c:v>1414.79</c:v>
                </c:pt>
                <c:pt idx="226">
                  <c:v>1443.67</c:v>
                </c:pt>
                <c:pt idx="229">
                  <c:v>1472.84</c:v>
                </c:pt>
                <c:pt idx="230">
                  <c:v>1501.7</c:v>
                </c:pt>
                <c:pt idx="231">
                  <c:v>1530.74</c:v>
                </c:pt>
                <c:pt idx="234">
                  <c:v>1559.36</c:v>
                </c:pt>
                <c:pt idx="237">
                  <c:v>1588.03</c:v>
                </c:pt>
                <c:pt idx="241">
                  <c:v>1617</c:v>
                </c:pt>
                <c:pt idx="245">
                  <c:v>1645.85</c:v>
                </c:pt>
                <c:pt idx="248">
                  <c:v>1674.73</c:v>
                </c:pt>
                <c:pt idx="252">
                  <c:v>1703.57</c:v>
                </c:pt>
                <c:pt idx="255">
                  <c:v>1732.38</c:v>
                </c:pt>
                <c:pt idx="259">
                  <c:v>1759.85</c:v>
                </c:pt>
                <c:pt idx="262">
                  <c:v>1787.86</c:v>
                </c:pt>
                <c:pt idx="266">
                  <c:v>1816.82</c:v>
                </c:pt>
                <c:pt idx="269">
                  <c:v>1845.56</c:v>
                </c:pt>
                <c:pt idx="273">
                  <c:v>1874.41</c:v>
                </c:pt>
                <c:pt idx="277">
                  <c:v>1903.21</c:v>
                </c:pt>
                <c:pt idx="280">
                  <c:v>1932.42</c:v>
                </c:pt>
                <c:pt idx="283">
                  <c:v>1961.27</c:v>
                </c:pt>
                <c:pt idx="287">
                  <c:v>1990.16</c:v>
                </c:pt>
                <c:pt idx="291">
                  <c:v>2019.13</c:v>
                </c:pt>
                <c:pt idx="294">
                  <c:v>2047.95</c:v>
                </c:pt>
                <c:pt idx="297">
                  <c:v>2077.09</c:v>
                </c:pt>
                <c:pt idx="298">
                  <c:v>2106.1999999999998</c:v>
                </c:pt>
                <c:pt idx="299">
                  <c:v>2134.9699999999998</c:v>
                </c:pt>
                <c:pt idx="300">
                  <c:v>2164.04</c:v>
                </c:pt>
                <c:pt idx="302">
                  <c:v>2193.0500000000002</c:v>
                </c:pt>
                <c:pt idx="305">
                  <c:v>2222.21</c:v>
                </c:pt>
                <c:pt idx="309">
                  <c:v>2250.7399999999998</c:v>
                </c:pt>
                <c:pt idx="312">
                  <c:v>2279.83</c:v>
                </c:pt>
                <c:pt idx="316">
                  <c:v>2308.29</c:v>
                </c:pt>
                <c:pt idx="320">
                  <c:v>2337.65</c:v>
                </c:pt>
                <c:pt idx="323">
                  <c:v>2366.48</c:v>
                </c:pt>
                <c:pt idx="327">
                  <c:v>2394.4</c:v>
                </c:pt>
                <c:pt idx="330">
                  <c:v>2421.9499999999998</c:v>
                </c:pt>
                <c:pt idx="334">
                  <c:v>2451.19</c:v>
                </c:pt>
                <c:pt idx="335">
                  <c:v>2480.4</c:v>
                </c:pt>
                <c:pt idx="336">
                  <c:v>2509.1799999999998</c:v>
                </c:pt>
                <c:pt idx="337">
                  <c:v>2538.1</c:v>
                </c:pt>
                <c:pt idx="338">
                  <c:v>2567.04</c:v>
                </c:pt>
                <c:pt idx="341">
                  <c:v>2596.0700000000002</c:v>
                </c:pt>
                <c:pt idx="345">
                  <c:v>2625.48</c:v>
                </c:pt>
                <c:pt idx="349">
                  <c:v>2654.75</c:v>
                </c:pt>
                <c:pt idx="352">
                  <c:v>2683.97</c:v>
                </c:pt>
                <c:pt idx="354">
                  <c:v>2712.78</c:v>
                </c:pt>
                <c:pt idx="355">
                  <c:v>2741.47</c:v>
                </c:pt>
                <c:pt idx="357">
                  <c:v>2770.03</c:v>
                </c:pt>
                <c:pt idx="359">
                  <c:v>2798.56</c:v>
                </c:pt>
                <c:pt idx="360">
                  <c:v>2826.68</c:v>
                </c:pt>
                <c:pt idx="361">
                  <c:v>2834.52</c:v>
                </c:pt>
              </c:numCache>
            </c:numRef>
          </c:xVal>
          <c:yVal>
            <c:numRef>
              <c:f>'LCa-3159 '!$G$2:$G$363</c:f>
              <c:numCache>
                <c:formatCode>0.00</c:formatCode>
                <c:ptCount val="362"/>
                <c:pt idx="0">
                  <c:v>0</c:v>
                </c:pt>
                <c:pt idx="1">
                  <c:v>0.08</c:v>
                </c:pt>
                <c:pt idx="2">
                  <c:v>0.27</c:v>
                </c:pt>
                <c:pt idx="3">
                  <c:v>0.46</c:v>
                </c:pt>
                <c:pt idx="4">
                  <c:v>0.6</c:v>
                </c:pt>
                <c:pt idx="5">
                  <c:v>0.68</c:v>
                </c:pt>
                <c:pt idx="6">
                  <c:v>0.73</c:v>
                </c:pt>
                <c:pt idx="7">
                  <c:v>0.78</c:v>
                </c:pt>
                <c:pt idx="8">
                  <c:v>0.84</c:v>
                </c:pt>
                <c:pt idx="9">
                  <c:v>0.84</c:v>
                </c:pt>
                <c:pt idx="10">
                  <c:v>0.83</c:v>
                </c:pt>
                <c:pt idx="11">
                  <c:v>0.86</c:v>
                </c:pt>
                <c:pt idx="12">
                  <c:v>0.88</c:v>
                </c:pt>
                <c:pt idx="13">
                  <c:v>0.95</c:v>
                </c:pt>
                <c:pt idx="14">
                  <c:v>1</c:v>
                </c:pt>
                <c:pt idx="15">
                  <c:v>0.95</c:v>
                </c:pt>
                <c:pt idx="16">
                  <c:v>0.88</c:v>
                </c:pt>
                <c:pt idx="17">
                  <c:v>0.74</c:v>
                </c:pt>
                <c:pt idx="18">
                  <c:v>0.56000000000000005</c:v>
                </c:pt>
                <c:pt idx="19">
                  <c:v>0.45</c:v>
                </c:pt>
                <c:pt idx="20">
                  <c:v>0.39</c:v>
                </c:pt>
                <c:pt idx="21">
                  <c:v>0.37</c:v>
                </c:pt>
                <c:pt idx="22">
                  <c:v>0.37</c:v>
                </c:pt>
                <c:pt idx="23">
                  <c:v>0.37</c:v>
                </c:pt>
                <c:pt idx="24">
                  <c:v>0.4</c:v>
                </c:pt>
                <c:pt idx="25">
                  <c:v>0.44</c:v>
                </c:pt>
                <c:pt idx="26">
                  <c:v>0.46</c:v>
                </c:pt>
                <c:pt idx="27">
                  <c:v>0.45</c:v>
                </c:pt>
                <c:pt idx="28">
                  <c:v>0.63</c:v>
                </c:pt>
                <c:pt idx="29">
                  <c:v>1.41</c:v>
                </c:pt>
                <c:pt idx="30">
                  <c:v>2.92</c:v>
                </c:pt>
                <c:pt idx="31">
                  <c:v>5.23</c:v>
                </c:pt>
                <c:pt idx="32">
                  <c:v>8.33</c:v>
                </c:pt>
                <c:pt idx="33">
                  <c:v>12.18</c:v>
                </c:pt>
                <c:pt idx="34">
                  <c:v>16.73</c:v>
                </c:pt>
                <c:pt idx="35">
                  <c:v>22.09</c:v>
                </c:pt>
                <c:pt idx="36">
                  <c:v>28.17</c:v>
                </c:pt>
                <c:pt idx="37">
                  <c:v>34.83</c:v>
                </c:pt>
                <c:pt idx="38">
                  <c:v>41.93</c:v>
                </c:pt>
                <c:pt idx="39">
                  <c:v>49.87</c:v>
                </c:pt>
                <c:pt idx="40">
                  <c:v>58.33</c:v>
                </c:pt>
                <c:pt idx="41">
                  <c:v>66.7</c:v>
                </c:pt>
                <c:pt idx="42">
                  <c:v>75.14</c:v>
                </c:pt>
                <c:pt idx="43">
                  <c:v>83.49</c:v>
                </c:pt>
                <c:pt idx="44">
                  <c:v>91.43</c:v>
                </c:pt>
                <c:pt idx="45">
                  <c:v>98.52</c:v>
                </c:pt>
                <c:pt idx="46">
                  <c:v>104.95</c:v>
                </c:pt>
                <c:pt idx="47">
                  <c:v>111.22</c:v>
                </c:pt>
                <c:pt idx="48">
                  <c:v>117.65</c:v>
                </c:pt>
                <c:pt idx="49">
                  <c:v>123.35</c:v>
                </c:pt>
                <c:pt idx="50">
                  <c:v>129.16</c:v>
                </c:pt>
                <c:pt idx="51">
                  <c:v>134.96</c:v>
                </c:pt>
                <c:pt idx="52">
                  <c:v>140.51</c:v>
                </c:pt>
                <c:pt idx="53">
                  <c:v>145.75</c:v>
                </c:pt>
                <c:pt idx="54">
                  <c:v>150.72999999999999</c:v>
                </c:pt>
                <c:pt idx="55">
                  <c:v>155.47</c:v>
                </c:pt>
                <c:pt idx="56">
                  <c:v>160.13</c:v>
                </c:pt>
                <c:pt idx="57">
                  <c:v>164.72</c:v>
                </c:pt>
                <c:pt idx="58">
                  <c:v>169.15</c:v>
                </c:pt>
                <c:pt idx="59">
                  <c:v>173.15</c:v>
                </c:pt>
                <c:pt idx="60">
                  <c:v>176.64</c:v>
                </c:pt>
                <c:pt idx="61">
                  <c:v>179.68</c:v>
                </c:pt>
                <c:pt idx="62">
                  <c:v>181.94</c:v>
                </c:pt>
                <c:pt idx="63">
                  <c:v>183.86</c:v>
                </c:pt>
                <c:pt idx="64">
                  <c:v>185.11</c:v>
                </c:pt>
                <c:pt idx="65">
                  <c:v>186.96</c:v>
                </c:pt>
                <c:pt idx="66">
                  <c:v>188.25</c:v>
                </c:pt>
                <c:pt idx="67">
                  <c:v>189.22</c:v>
                </c:pt>
                <c:pt idx="68">
                  <c:v>189.89</c:v>
                </c:pt>
                <c:pt idx="69">
                  <c:v>190.27</c:v>
                </c:pt>
                <c:pt idx="70">
                  <c:v>190.35</c:v>
                </c:pt>
                <c:pt idx="71">
                  <c:v>190.29</c:v>
                </c:pt>
                <c:pt idx="72">
                  <c:v>190.18</c:v>
                </c:pt>
                <c:pt idx="73">
                  <c:v>190.1</c:v>
                </c:pt>
                <c:pt idx="74">
                  <c:v>189.97</c:v>
                </c:pt>
                <c:pt idx="75">
                  <c:v>189.75</c:v>
                </c:pt>
                <c:pt idx="76">
                  <c:v>189.64</c:v>
                </c:pt>
                <c:pt idx="77">
                  <c:v>189.63</c:v>
                </c:pt>
                <c:pt idx="78">
                  <c:v>189.63</c:v>
                </c:pt>
                <c:pt idx="79">
                  <c:v>189.67</c:v>
                </c:pt>
                <c:pt idx="80">
                  <c:v>189.88</c:v>
                </c:pt>
                <c:pt idx="81">
                  <c:v>190.26</c:v>
                </c:pt>
                <c:pt idx="82">
                  <c:v>190.68</c:v>
                </c:pt>
                <c:pt idx="83">
                  <c:v>191.15</c:v>
                </c:pt>
                <c:pt idx="84">
                  <c:v>191.63</c:v>
                </c:pt>
                <c:pt idx="85">
                  <c:v>192.08</c:v>
                </c:pt>
                <c:pt idx="86">
                  <c:v>192.54</c:v>
                </c:pt>
                <c:pt idx="87">
                  <c:v>192.87</c:v>
                </c:pt>
                <c:pt idx="88">
                  <c:v>192.9</c:v>
                </c:pt>
                <c:pt idx="89">
                  <c:v>193.05</c:v>
                </c:pt>
                <c:pt idx="90">
                  <c:v>192.93</c:v>
                </c:pt>
                <c:pt idx="91">
                  <c:v>192.76</c:v>
                </c:pt>
                <c:pt idx="92">
                  <c:v>193.22</c:v>
                </c:pt>
                <c:pt idx="93">
                  <c:v>194.25</c:v>
                </c:pt>
                <c:pt idx="94">
                  <c:v>195.46</c:v>
                </c:pt>
                <c:pt idx="95">
                  <c:v>196.31</c:v>
                </c:pt>
                <c:pt idx="96">
                  <c:v>196.59</c:v>
                </c:pt>
                <c:pt idx="97">
                  <c:v>196.46</c:v>
                </c:pt>
                <c:pt idx="98">
                  <c:v>195.93</c:v>
                </c:pt>
                <c:pt idx="99">
                  <c:v>194.84</c:v>
                </c:pt>
                <c:pt idx="100">
                  <c:v>193.2</c:v>
                </c:pt>
                <c:pt idx="101">
                  <c:v>191.61</c:v>
                </c:pt>
                <c:pt idx="102">
                  <c:v>190.28</c:v>
                </c:pt>
                <c:pt idx="105">
                  <c:v>189.13</c:v>
                </c:pt>
                <c:pt idx="110">
                  <c:v>187.98</c:v>
                </c:pt>
                <c:pt idx="113">
                  <c:v>187.46</c:v>
                </c:pt>
                <c:pt idx="116">
                  <c:v>187.62</c:v>
                </c:pt>
                <c:pt idx="120">
                  <c:v>187.83</c:v>
                </c:pt>
                <c:pt idx="122">
                  <c:v>187.88</c:v>
                </c:pt>
                <c:pt idx="123">
                  <c:v>187.39</c:v>
                </c:pt>
                <c:pt idx="124">
                  <c:v>186.67</c:v>
                </c:pt>
                <c:pt idx="125">
                  <c:v>185.74</c:v>
                </c:pt>
                <c:pt idx="126">
                  <c:v>184.34</c:v>
                </c:pt>
                <c:pt idx="127">
                  <c:v>183</c:v>
                </c:pt>
                <c:pt idx="130">
                  <c:v>181.56</c:v>
                </c:pt>
                <c:pt idx="133">
                  <c:v>180.17</c:v>
                </c:pt>
                <c:pt idx="136">
                  <c:v>178.75</c:v>
                </c:pt>
                <c:pt idx="140">
                  <c:v>176.98</c:v>
                </c:pt>
                <c:pt idx="144">
                  <c:v>175.96</c:v>
                </c:pt>
                <c:pt idx="147">
                  <c:v>176.07</c:v>
                </c:pt>
                <c:pt idx="150">
                  <c:v>176.59</c:v>
                </c:pt>
                <c:pt idx="154">
                  <c:v>177.99</c:v>
                </c:pt>
                <c:pt idx="155">
                  <c:v>179.56</c:v>
                </c:pt>
                <c:pt idx="158">
                  <c:v>179.71</c:v>
                </c:pt>
                <c:pt idx="161">
                  <c:v>178.69</c:v>
                </c:pt>
                <c:pt idx="165">
                  <c:v>177.42</c:v>
                </c:pt>
                <c:pt idx="169">
                  <c:v>177.19</c:v>
                </c:pt>
                <c:pt idx="172">
                  <c:v>180.07</c:v>
                </c:pt>
                <c:pt idx="176">
                  <c:v>184.55</c:v>
                </c:pt>
                <c:pt idx="179">
                  <c:v>186.91</c:v>
                </c:pt>
                <c:pt idx="183">
                  <c:v>187.62</c:v>
                </c:pt>
                <c:pt idx="187">
                  <c:v>188.73</c:v>
                </c:pt>
                <c:pt idx="189">
                  <c:v>189.39</c:v>
                </c:pt>
                <c:pt idx="190">
                  <c:v>189.71</c:v>
                </c:pt>
                <c:pt idx="191">
                  <c:v>190.05</c:v>
                </c:pt>
                <c:pt idx="192">
                  <c:v>190.37</c:v>
                </c:pt>
                <c:pt idx="193">
                  <c:v>190.74</c:v>
                </c:pt>
                <c:pt idx="196">
                  <c:v>191.27</c:v>
                </c:pt>
                <c:pt idx="199">
                  <c:v>192.51</c:v>
                </c:pt>
                <c:pt idx="203">
                  <c:v>192.71</c:v>
                </c:pt>
                <c:pt idx="207">
                  <c:v>192.34</c:v>
                </c:pt>
                <c:pt idx="211">
                  <c:v>192.29</c:v>
                </c:pt>
                <c:pt idx="215">
                  <c:v>191.63</c:v>
                </c:pt>
                <c:pt idx="219">
                  <c:v>191.01</c:v>
                </c:pt>
                <c:pt idx="223">
                  <c:v>190.78</c:v>
                </c:pt>
                <c:pt idx="226">
                  <c:v>191.28</c:v>
                </c:pt>
                <c:pt idx="229">
                  <c:v>191.79</c:v>
                </c:pt>
                <c:pt idx="230">
                  <c:v>192.01</c:v>
                </c:pt>
                <c:pt idx="231">
                  <c:v>192.58</c:v>
                </c:pt>
                <c:pt idx="234">
                  <c:v>193.3</c:v>
                </c:pt>
                <c:pt idx="237">
                  <c:v>194.47</c:v>
                </c:pt>
                <c:pt idx="241">
                  <c:v>195.55</c:v>
                </c:pt>
                <c:pt idx="245">
                  <c:v>195.86</c:v>
                </c:pt>
                <c:pt idx="248">
                  <c:v>196.9</c:v>
                </c:pt>
                <c:pt idx="252">
                  <c:v>198.87</c:v>
                </c:pt>
                <c:pt idx="255">
                  <c:v>200.36</c:v>
                </c:pt>
                <c:pt idx="259">
                  <c:v>201.45</c:v>
                </c:pt>
                <c:pt idx="262">
                  <c:v>202.05</c:v>
                </c:pt>
                <c:pt idx="266">
                  <c:v>201.68</c:v>
                </c:pt>
                <c:pt idx="269">
                  <c:v>201.32</c:v>
                </c:pt>
                <c:pt idx="273">
                  <c:v>200.97</c:v>
                </c:pt>
                <c:pt idx="277">
                  <c:v>200.56</c:v>
                </c:pt>
                <c:pt idx="280">
                  <c:v>200.3</c:v>
                </c:pt>
                <c:pt idx="283">
                  <c:v>199.95</c:v>
                </c:pt>
                <c:pt idx="287">
                  <c:v>199.8</c:v>
                </c:pt>
                <c:pt idx="291">
                  <c:v>200.6</c:v>
                </c:pt>
                <c:pt idx="294">
                  <c:v>201.67</c:v>
                </c:pt>
                <c:pt idx="297">
                  <c:v>202.28</c:v>
                </c:pt>
                <c:pt idx="298">
                  <c:v>202.61</c:v>
                </c:pt>
                <c:pt idx="299">
                  <c:v>202.99</c:v>
                </c:pt>
                <c:pt idx="300">
                  <c:v>203.03</c:v>
                </c:pt>
                <c:pt idx="302">
                  <c:v>202.59</c:v>
                </c:pt>
                <c:pt idx="305">
                  <c:v>202.23</c:v>
                </c:pt>
                <c:pt idx="309">
                  <c:v>202.27</c:v>
                </c:pt>
                <c:pt idx="312">
                  <c:v>202.71</c:v>
                </c:pt>
                <c:pt idx="316">
                  <c:v>202.98</c:v>
                </c:pt>
                <c:pt idx="320">
                  <c:v>204.42</c:v>
                </c:pt>
                <c:pt idx="323">
                  <c:v>207.6</c:v>
                </c:pt>
                <c:pt idx="327">
                  <c:v>210.95</c:v>
                </c:pt>
                <c:pt idx="330">
                  <c:v>213.2</c:v>
                </c:pt>
                <c:pt idx="334">
                  <c:v>213.2</c:v>
                </c:pt>
                <c:pt idx="335">
                  <c:v>211.4</c:v>
                </c:pt>
                <c:pt idx="336">
                  <c:v>209.2</c:v>
                </c:pt>
                <c:pt idx="337">
                  <c:v>206.83</c:v>
                </c:pt>
                <c:pt idx="338">
                  <c:v>204.68</c:v>
                </c:pt>
                <c:pt idx="341">
                  <c:v>202.56</c:v>
                </c:pt>
                <c:pt idx="345">
                  <c:v>199.84</c:v>
                </c:pt>
                <c:pt idx="349">
                  <c:v>196.58</c:v>
                </c:pt>
                <c:pt idx="352">
                  <c:v>192.32</c:v>
                </c:pt>
                <c:pt idx="354">
                  <c:v>186.88</c:v>
                </c:pt>
                <c:pt idx="355">
                  <c:v>181.02</c:v>
                </c:pt>
                <c:pt idx="357">
                  <c:v>175.61</c:v>
                </c:pt>
                <c:pt idx="359">
                  <c:v>170.42</c:v>
                </c:pt>
                <c:pt idx="360">
                  <c:v>164.35</c:v>
                </c:pt>
                <c:pt idx="361">
                  <c:v>162.47999999999999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B2-B747-824A-397B6C726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793615"/>
        <c:axId val="570773487"/>
      </c:scatterChart>
      <c:scatterChart>
        <c:scatterStyle val="lineMarker"/>
        <c:varyColors val="0"/>
        <c:ser>
          <c:idx val="2"/>
          <c:order val="2"/>
          <c:tx>
            <c:v>Csg Def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'LCa-3159 '!$O$2:$O$363</c:f>
              <c:numCache>
                <c:formatCode>0.00</c:formatCode>
                <c:ptCount val="362"/>
                <c:pt idx="0">
                  <c:v>0</c:v>
                </c:pt>
                <c:pt idx="1">
                  <c:v>-0.03</c:v>
                </c:pt>
                <c:pt idx="2">
                  <c:v>-0.14000000000000001</c:v>
                </c:pt>
                <c:pt idx="3">
                  <c:v>-0.27</c:v>
                </c:pt>
                <c:pt idx="4">
                  <c:v>-0.33</c:v>
                </c:pt>
                <c:pt idx="5">
                  <c:v>-0.34</c:v>
                </c:pt>
                <c:pt idx="6">
                  <c:v>-0.36</c:v>
                </c:pt>
                <c:pt idx="7">
                  <c:v>-0.35</c:v>
                </c:pt>
                <c:pt idx="8">
                  <c:v>-0.31</c:v>
                </c:pt>
                <c:pt idx="9">
                  <c:v>-0.27</c:v>
                </c:pt>
                <c:pt idx="10">
                  <c:v>-0.22</c:v>
                </c:pt>
                <c:pt idx="11">
                  <c:v>-0.11</c:v>
                </c:pt>
                <c:pt idx="12">
                  <c:v>-7.0000000000000007E-2</c:v>
                </c:pt>
                <c:pt idx="13">
                  <c:v>-0.06</c:v>
                </c:pt>
                <c:pt idx="14">
                  <c:v>-7.0000000000000007E-2</c:v>
                </c:pt>
                <c:pt idx="15">
                  <c:v>-0.08</c:v>
                </c:pt>
                <c:pt idx="16">
                  <c:v>-0.11</c:v>
                </c:pt>
                <c:pt idx="17">
                  <c:v>-0.18</c:v>
                </c:pt>
                <c:pt idx="18">
                  <c:v>-0.23</c:v>
                </c:pt>
                <c:pt idx="19">
                  <c:v>-0.24</c:v>
                </c:pt>
                <c:pt idx="20">
                  <c:v>-0.25</c:v>
                </c:pt>
                <c:pt idx="21">
                  <c:v>-0.27</c:v>
                </c:pt>
                <c:pt idx="22">
                  <c:v>-0.31</c:v>
                </c:pt>
                <c:pt idx="23">
                  <c:v>-0.38</c:v>
                </c:pt>
                <c:pt idx="24">
                  <c:v>-0.42</c:v>
                </c:pt>
                <c:pt idx="25">
                  <c:v>-0.38</c:v>
                </c:pt>
                <c:pt idx="26">
                  <c:v>-0.31</c:v>
                </c:pt>
                <c:pt idx="27">
                  <c:v>-0.16</c:v>
                </c:pt>
                <c:pt idx="28">
                  <c:v>0</c:v>
                </c:pt>
                <c:pt idx="29">
                  <c:v>0.1</c:v>
                </c:pt>
                <c:pt idx="30">
                  <c:v>0.23</c:v>
                </c:pt>
                <c:pt idx="31">
                  <c:v>0.27</c:v>
                </c:pt>
                <c:pt idx="32">
                  <c:v>0.22</c:v>
                </c:pt>
                <c:pt idx="33">
                  <c:v>0.19</c:v>
                </c:pt>
                <c:pt idx="34">
                  <c:v>0.23</c:v>
                </c:pt>
                <c:pt idx="35">
                  <c:v>0.51</c:v>
                </c:pt>
                <c:pt idx="36">
                  <c:v>0.88</c:v>
                </c:pt>
                <c:pt idx="37">
                  <c:v>1.07</c:v>
                </c:pt>
                <c:pt idx="38">
                  <c:v>1.21</c:v>
                </c:pt>
                <c:pt idx="39">
                  <c:v>1.66</c:v>
                </c:pt>
                <c:pt idx="40">
                  <c:v>2.33</c:v>
                </c:pt>
                <c:pt idx="41">
                  <c:v>3.29</c:v>
                </c:pt>
                <c:pt idx="42">
                  <c:v>4.66</c:v>
                </c:pt>
                <c:pt idx="43">
                  <c:v>5.78</c:v>
                </c:pt>
                <c:pt idx="44">
                  <c:v>6.91</c:v>
                </c:pt>
                <c:pt idx="45">
                  <c:v>8.0299999999999994</c:v>
                </c:pt>
                <c:pt idx="46">
                  <c:v>9.11</c:v>
                </c:pt>
                <c:pt idx="47">
                  <c:v>10.16</c:v>
                </c:pt>
                <c:pt idx="48">
                  <c:v>11.23</c:v>
                </c:pt>
                <c:pt idx="49">
                  <c:v>12.2</c:v>
                </c:pt>
                <c:pt idx="50">
                  <c:v>12.99</c:v>
                </c:pt>
                <c:pt idx="51">
                  <c:v>13.51</c:v>
                </c:pt>
                <c:pt idx="52">
                  <c:v>14</c:v>
                </c:pt>
                <c:pt idx="53">
                  <c:v>14.5</c:v>
                </c:pt>
                <c:pt idx="54">
                  <c:v>14.98</c:v>
                </c:pt>
                <c:pt idx="55">
                  <c:v>15.48</c:v>
                </c:pt>
                <c:pt idx="56">
                  <c:v>16.010000000000002</c:v>
                </c:pt>
                <c:pt idx="57">
                  <c:v>16.579999999999998</c:v>
                </c:pt>
                <c:pt idx="58">
                  <c:v>17.149999999999999</c:v>
                </c:pt>
                <c:pt idx="59">
                  <c:v>17.63</c:v>
                </c:pt>
                <c:pt idx="60">
                  <c:v>18.010000000000002</c:v>
                </c:pt>
                <c:pt idx="61">
                  <c:v>18.21</c:v>
                </c:pt>
                <c:pt idx="62">
                  <c:v>18.059999999999999</c:v>
                </c:pt>
                <c:pt idx="63">
                  <c:v>17.75</c:v>
                </c:pt>
                <c:pt idx="64">
                  <c:v>17.57</c:v>
                </c:pt>
                <c:pt idx="65">
                  <c:v>17.420000000000002</c:v>
                </c:pt>
                <c:pt idx="66">
                  <c:v>17.29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16.78</c:v>
                </c:pt>
                <c:pt idx="70">
                  <c:v>16.63</c:v>
                </c:pt>
                <c:pt idx="71">
                  <c:v>16.55</c:v>
                </c:pt>
                <c:pt idx="72">
                  <c:v>16.53</c:v>
                </c:pt>
                <c:pt idx="73">
                  <c:v>16.53</c:v>
                </c:pt>
                <c:pt idx="74">
                  <c:v>16.53</c:v>
                </c:pt>
                <c:pt idx="75">
                  <c:v>16.53</c:v>
                </c:pt>
                <c:pt idx="76">
                  <c:v>16.53</c:v>
                </c:pt>
                <c:pt idx="77">
                  <c:v>16.53</c:v>
                </c:pt>
                <c:pt idx="78">
                  <c:v>16.53</c:v>
                </c:pt>
                <c:pt idx="79">
                  <c:v>16.53</c:v>
                </c:pt>
                <c:pt idx="80">
                  <c:v>16.53</c:v>
                </c:pt>
                <c:pt idx="81">
                  <c:v>16.53</c:v>
                </c:pt>
                <c:pt idx="82">
                  <c:v>16.53</c:v>
                </c:pt>
                <c:pt idx="83">
                  <c:v>16.53</c:v>
                </c:pt>
                <c:pt idx="84">
                  <c:v>16.53</c:v>
                </c:pt>
                <c:pt idx="85">
                  <c:v>16.53</c:v>
                </c:pt>
                <c:pt idx="86">
                  <c:v>16.53</c:v>
                </c:pt>
                <c:pt idx="87">
                  <c:v>16.53</c:v>
                </c:pt>
                <c:pt idx="88">
                  <c:v>16.53</c:v>
                </c:pt>
                <c:pt idx="89">
                  <c:v>16.53</c:v>
                </c:pt>
                <c:pt idx="90">
                  <c:v>16.53</c:v>
                </c:pt>
                <c:pt idx="91">
                  <c:v>16.53</c:v>
                </c:pt>
                <c:pt idx="92">
                  <c:v>16.53</c:v>
                </c:pt>
                <c:pt idx="93">
                  <c:v>16.53</c:v>
                </c:pt>
                <c:pt idx="94">
                  <c:v>16.79</c:v>
                </c:pt>
                <c:pt idx="95">
                  <c:v>19.89</c:v>
                </c:pt>
                <c:pt idx="96">
                  <c:v>26.48</c:v>
                </c:pt>
                <c:pt idx="97">
                  <c:v>36.47</c:v>
                </c:pt>
                <c:pt idx="98">
                  <c:v>49.71</c:v>
                </c:pt>
                <c:pt idx="99">
                  <c:v>66.03</c:v>
                </c:pt>
                <c:pt idx="100">
                  <c:v>85.19</c:v>
                </c:pt>
                <c:pt idx="101">
                  <c:v>106.93</c:v>
                </c:pt>
                <c:pt idx="102">
                  <c:v>130.94999999999999</c:v>
                </c:pt>
                <c:pt idx="105">
                  <c:v>156.91999999999999</c:v>
                </c:pt>
                <c:pt idx="110">
                  <c:v>184.46</c:v>
                </c:pt>
                <c:pt idx="113">
                  <c:v>213.21</c:v>
                </c:pt>
                <c:pt idx="116">
                  <c:v>242.76</c:v>
                </c:pt>
                <c:pt idx="120">
                  <c:v>269.85000000000002</c:v>
                </c:pt>
                <c:pt idx="122">
                  <c:v>272.7</c:v>
                </c:pt>
                <c:pt idx="123">
                  <c:v>289.17</c:v>
                </c:pt>
                <c:pt idx="124">
                  <c:v>302.7</c:v>
                </c:pt>
                <c:pt idx="125">
                  <c:v>332.7</c:v>
                </c:pt>
                <c:pt idx="126">
                  <c:v>362.7</c:v>
                </c:pt>
                <c:pt idx="127">
                  <c:v>392.7</c:v>
                </c:pt>
                <c:pt idx="130">
                  <c:v>422.7</c:v>
                </c:pt>
                <c:pt idx="133">
                  <c:v>452.7</c:v>
                </c:pt>
                <c:pt idx="136">
                  <c:v>482.7</c:v>
                </c:pt>
                <c:pt idx="140">
                  <c:v>512.70000000000005</c:v>
                </c:pt>
                <c:pt idx="144">
                  <c:v>542.70000000000005</c:v>
                </c:pt>
                <c:pt idx="147">
                  <c:v>572.70000000000005</c:v>
                </c:pt>
                <c:pt idx="150">
                  <c:v>602.70000000000005</c:v>
                </c:pt>
                <c:pt idx="154">
                  <c:v>632.70000000000005</c:v>
                </c:pt>
                <c:pt idx="155">
                  <c:v>662.7</c:v>
                </c:pt>
                <c:pt idx="158">
                  <c:v>692.7</c:v>
                </c:pt>
                <c:pt idx="161">
                  <c:v>722.7</c:v>
                </c:pt>
                <c:pt idx="165">
                  <c:v>752.69</c:v>
                </c:pt>
                <c:pt idx="169">
                  <c:v>782.69</c:v>
                </c:pt>
                <c:pt idx="172">
                  <c:v>812.69</c:v>
                </c:pt>
                <c:pt idx="176">
                  <c:v>842.69</c:v>
                </c:pt>
                <c:pt idx="179">
                  <c:v>872.69</c:v>
                </c:pt>
                <c:pt idx="183">
                  <c:v>902.69</c:v>
                </c:pt>
                <c:pt idx="187">
                  <c:v>932.69</c:v>
                </c:pt>
                <c:pt idx="189">
                  <c:v>962.69</c:v>
                </c:pt>
                <c:pt idx="190">
                  <c:v>992.69</c:v>
                </c:pt>
                <c:pt idx="191">
                  <c:v>1022.69</c:v>
                </c:pt>
                <c:pt idx="192">
                  <c:v>1052.69</c:v>
                </c:pt>
                <c:pt idx="193">
                  <c:v>1082.69</c:v>
                </c:pt>
                <c:pt idx="196">
                  <c:v>1112.69</c:v>
                </c:pt>
                <c:pt idx="199">
                  <c:v>1142.69</c:v>
                </c:pt>
                <c:pt idx="203">
                  <c:v>1172.69</c:v>
                </c:pt>
                <c:pt idx="207">
                  <c:v>1202.69</c:v>
                </c:pt>
                <c:pt idx="211">
                  <c:v>1232.69</c:v>
                </c:pt>
                <c:pt idx="215">
                  <c:v>1262.69</c:v>
                </c:pt>
                <c:pt idx="219">
                  <c:v>1292.69</c:v>
                </c:pt>
                <c:pt idx="223">
                  <c:v>1322.69</c:v>
                </c:pt>
                <c:pt idx="226">
                  <c:v>1352.69</c:v>
                </c:pt>
                <c:pt idx="229">
                  <c:v>1382.69</c:v>
                </c:pt>
                <c:pt idx="230">
                  <c:v>1412.69</c:v>
                </c:pt>
                <c:pt idx="231">
                  <c:v>1442.69</c:v>
                </c:pt>
                <c:pt idx="234">
                  <c:v>1472.69</c:v>
                </c:pt>
                <c:pt idx="237">
                  <c:v>1502.69</c:v>
                </c:pt>
                <c:pt idx="241">
                  <c:v>1532.69</c:v>
                </c:pt>
                <c:pt idx="245">
                  <c:v>1562.69</c:v>
                </c:pt>
                <c:pt idx="248">
                  <c:v>1592.69</c:v>
                </c:pt>
                <c:pt idx="252">
                  <c:v>1622.69</c:v>
                </c:pt>
                <c:pt idx="255">
                  <c:v>1652.69</c:v>
                </c:pt>
                <c:pt idx="259">
                  <c:v>1682.69</c:v>
                </c:pt>
                <c:pt idx="262">
                  <c:v>1712.69</c:v>
                </c:pt>
                <c:pt idx="266">
                  <c:v>1742.69</c:v>
                </c:pt>
                <c:pt idx="269">
                  <c:v>1772.69</c:v>
                </c:pt>
                <c:pt idx="273">
                  <c:v>1802.69</c:v>
                </c:pt>
                <c:pt idx="277">
                  <c:v>1832.69</c:v>
                </c:pt>
                <c:pt idx="280">
                  <c:v>1862.69</c:v>
                </c:pt>
                <c:pt idx="283">
                  <c:v>1892.69</c:v>
                </c:pt>
                <c:pt idx="287">
                  <c:v>1922.69</c:v>
                </c:pt>
                <c:pt idx="291">
                  <c:v>1952.69</c:v>
                </c:pt>
                <c:pt idx="294">
                  <c:v>1982.69</c:v>
                </c:pt>
                <c:pt idx="297">
                  <c:v>2012.68</c:v>
                </c:pt>
                <c:pt idx="298">
                  <c:v>2042.68</c:v>
                </c:pt>
                <c:pt idx="299">
                  <c:v>2072.6799999999998</c:v>
                </c:pt>
                <c:pt idx="300">
                  <c:v>2102.6799999999998</c:v>
                </c:pt>
                <c:pt idx="302">
                  <c:v>2132.6799999999998</c:v>
                </c:pt>
                <c:pt idx="305">
                  <c:v>2162.6799999999998</c:v>
                </c:pt>
                <c:pt idx="309">
                  <c:v>2192.6799999999998</c:v>
                </c:pt>
                <c:pt idx="312">
                  <c:v>2222.6799999999998</c:v>
                </c:pt>
                <c:pt idx="316">
                  <c:v>2252.6799999999998</c:v>
                </c:pt>
                <c:pt idx="320">
                  <c:v>2282.6799999999998</c:v>
                </c:pt>
                <c:pt idx="323">
                  <c:v>2312.6799999999998</c:v>
                </c:pt>
                <c:pt idx="327">
                  <c:v>2342.6799999999998</c:v>
                </c:pt>
                <c:pt idx="330">
                  <c:v>2372.6799999999998</c:v>
                </c:pt>
                <c:pt idx="334">
                  <c:v>2402.6799999999998</c:v>
                </c:pt>
                <c:pt idx="335">
                  <c:v>2432.6799999999998</c:v>
                </c:pt>
                <c:pt idx="336">
                  <c:v>2462.6799999999998</c:v>
                </c:pt>
                <c:pt idx="337">
                  <c:v>2492.6799999999998</c:v>
                </c:pt>
                <c:pt idx="338">
                  <c:v>2522.6799999999998</c:v>
                </c:pt>
                <c:pt idx="341">
                  <c:v>2552.6799999999998</c:v>
                </c:pt>
                <c:pt idx="345">
                  <c:v>2582.6799999999998</c:v>
                </c:pt>
                <c:pt idx="349">
                  <c:v>2612.6799999999998</c:v>
                </c:pt>
                <c:pt idx="352">
                  <c:v>2642.68</c:v>
                </c:pt>
                <c:pt idx="354">
                  <c:v>2672.68</c:v>
                </c:pt>
                <c:pt idx="355">
                  <c:v>2702.68</c:v>
                </c:pt>
                <c:pt idx="357">
                  <c:v>2732.68</c:v>
                </c:pt>
                <c:pt idx="359">
                  <c:v>2762.68</c:v>
                </c:pt>
                <c:pt idx="360">
                  <c:v>2792.68</c:v>
                </c:pt>
                <c:pt idx="361">
                  <c:v>2822.68</c:v>
                </c:pt>
              </c:numCache>
            </c:numRef>
          </c:xVal>
          <c:yVal>
            <c:numRef>
              <c:f>'LCa-3159 '!$Y$2:$Y$365</c:f>
              <c:numCache>
                <c:formatCode>0.00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1</c:v>
                </c:pt>
                <c:pt idx="347">
                  <c:v>1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B2-B747-824A-397B6C726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829535"/>
        <c:axId val="246943007"/>
      </c:scatterChart>
      <c:valAx>
        <c:axId val="609793615"/>
        <c:scaling>
          <c:orientation val="minMax"/>
          <c:max val="3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50" b="1"/>
                  <a:t>North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O"/>
          </a:p>
        </c:txPr>
        <c:crossAx val="570773487"/>
        <c:crosses val="autoZero"/>
        <c:crossBetween val="midCat"/>
      </c:valAx>
      <c:valAx>
        <c:axId val="570773487"/>
        <c:scaling>
          <c:orientation val="minMax"/>
          <c:max val="30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50" b="1"/>
                  <a:t>East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O"/>
          </a:p>
        </c:txPr>
        <c:crossAx val="609793615"/>
        <c:crosses val="autoZero"/>
        <c:crossBetween val="midCat"/>
      </c:valAx>
      <c:valAx>
        <c:axId val="246943007"/>
        <c:scaling>
          <c:orientation val="minMax"/>
          <c:max val="1.5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50" b="1"/>
                  <a:t>Csg Def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O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O"/>
          </a:p>
        </c:txPr>
        <c:crossAx val="246829535"/>
        <c:crosses val="max"/>
        <c:crossBetween val="midCat"/>
        <c:majorUnit val="1"/>
      </c:valAx>
      <c:valAx>
        <c:axId val="246829535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469430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NO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tx>
            <c:v>delta_lower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'LCa-3159 '!$A$2:$A$363</c:f>
              <c:numCache>
                <c:formatCode>0.00</c:formatCode>
                <c:ptCount val="362"/>
                <c:pt idx="0">
                  <c:v>0</c:v>
                </c:pt>
                <c:pt idx="1">
                  <c:v>26</c:v>
                </c:pt>
                <c:pt idx="2">
                  <c:v>53.67</c:v>
                </c:pt>
                <c:pt idx="3">
                  <c:v>81.48</c:v>
                </c:pt>
                <c:pt idx="4">
                  <c:v>106.59</c:v>
                </c:pt>
                <c:pt idx="5">
                  <c:v>134.29</c:v>
                </c:pt>
                <c:pt idx="6">
                  <c:v>164.3</c:v>
                </c:pt>
                <c:pt idx="7">
                  <c:v>193.46</c:v>
                </c:pt>
                <c:pt idx="8">
                  <c:v>222.05</c:v>
                </c:pt>
                <c:pt idx="9">
                  <c:v>251.88</c:v>
                </c:pt>
                <c:pt idx="10">
                  <c:v>281.25</c:v>
                </c:pt>
                <c:pt idx="11">
                  <c:v>309.92</c:v>
                </c:pt>
                <c:pt idx="12">
                  <c:v>339.48</c:v>
                </c:pt>
                <c:pt idx="13">
                  <c:v>368.47</c:v>
                </c:pt>
                <c:pt idx="14">
                  <c:v>398.05</c:v>
                </c:pt>
                <c:pt idx="15">
                  <c:v>427.65</c:v>
                </c:pt>
                <c:pt idx="16">
                  <c:v>457.21</c:v>
                </c:pt>
                <c:pt idx="17">
                  <c:v>486.77</c:v>
                </c:pt>
                <c:pt idx="18">
                  <c:v>516.37</c:v>
                </c:pt>
                <c:pt idx="19">
                  <c:v>545.29999999999995</c:v>
                </c:pt>
                <c:pt idx="20">
                  <c:v>574.98</c:v>
                </c:pt>
                <c:pt idx="21">
                  <c:v>604.65</c:v>
                </c:pt>
                <c:pt idx="22">
                  <c:v>634</c:v>
                </c:pt>
                <c:pt idx="23">
                  <c:v>663.09</c:v>
                </c:pt>
                <c:pt idx="24">
                  <c:v>692.15</c:v>
                </c:pt>
                <c:pt idx="25">
                  <c:v>720.93</c:v>
                </c:pt>
                <c:pt idx="26">
                  <c:v>742.79</c:v>
                </c:pt>
                <c:pt idx="27">
                  <c:v>773.92</c:v>
                </c:pt>
                <c:pt idx="28">
                  <c:v>802.87</c:v>
                </c:pt>
                <c:pt idx="29">
                  <c:v>832.04</c:v>
                </c:pt>
                <c:pt idx="30">
                  <c:v>861.02</c:v>
                </c:pt>
                <c:pt idx="31">
                  <c:v>889.93</c:v>
                </c:pt>
                <c:pt idx="32">
                  <c:v>918.8</c:v>
                </c:pt>
                <c:pt idx="33">
                  <c:v>947.97</c:v>
                </c:pt>
                <c:pt idx="34">
                  <c:v>977.14</c:v>
                </c:pt>
                <c:pt idx="35">
                  <c:v>1006.39</c:v>
                </c:pt>
                <c:pt idx="36">
                  <c:v>1035.49</c:v>
                </c:pt>
                <c:pt idx="37">
                  <c:v>1064.6300000000001</c:v>
                </c:pt>
                <c:pt idx="38">
                  <c:v>1093.1300000000001</c:v>
                </c:pt>
                <c:pt idx="39">
                  <c:v>1122.24</c:v>
                </c:pt>
                <c:pt idx="40">
                  <c:v>1151.47</c:v>
                </c:pt>
                <c:pt idx="41">
                  <c:v>1179.9100000000001</c:v>
                </c:pt>
                <c:pt idx="42">
                  <c:v>1208.47</c:v>
                </c:pt>
                <c:pt idx="43">
                  <c:v>1237.04</c:v>
                </c:pt>
                <c:pt idx="44">
                  <c:v>1265.5899999999999</c:v>
                </c:pt>
                <c:pt idx="45">
                  <c:v>1294.4100000000001</c:v>
                </c:pt>
                <c:pt idx="46">
                  <c:v>1323.3</c:v>
                </c:pt>
                <c:pt idx="47">
                  <c:v>1352.3</c:v>
                </c:pt>
                <c:pt idx="48">
                  <c:v>1383.17</c:v>
                </c:pt>
                <c:pt idx="49">
                  <c:v>1411.42</c:v>
                </c:pt>
                <c:pt idx="50">
                  <c:v>1440.24</c:v>
                </c:pt>
                <c:pt idx="51">
                  <c:v>1469.04</c:v>
                </c:pt>
                <c:pt idx="52">
                  <c:v>1498.03</c:v>
                </c:pt>
                <c:pt idx="53">
                  <c:v>1526.89</c:v>
                </c:pt>
                <c:pt idx="54">
                  <c:v>1555.84</c:v>
                </c:pt>
                <c:pt idx="55">
                  <c:v>1584.66</c:v>
                </c:pt>
                <c:pt idx="56">
                  <c:v>1613.51</c:v>
                </c:pt>
                <c:pt idx="57">
                  <c:v>1642.6</c:v>
                </c:pt>
                <c:pt idx="58">
                  <c:v>1671.77</c:v>
                </c:pt>
                <c:pt idx="59">
                  <c:v>1701.09</c:v>
                </c:pt>
                <c:pt idx="60">
                  <c:v>1729.79</c:v>
                </c:pt>
                <c:pt idx="61">
                  <c:v>1758.54</c:v>
                </c:pt>
                <c:pt idx="62">
                  <c:v>1787.03</c:v>
                </c:pt>
                <c:pt idx="63">
                  <c:v>1815.88</c:v>
                </c:pt>
                <c:pt idx="64">
                  <c:v>1835.01</c:v>
                </c:pt>
                <c:pt idx="65">
                  <c:v>1868.38</c:v>
                </c:pt>
                <c:pt idx="66">
                  <c:v>1897.7</c:v>
                </c:pt>
                <c:pt idx="67">
                  <c:v>1926.63</c:v>
                </c:pt>
                <c:pt idx="68">
                  <c:v>1955.63</c:v>
                </c:pt>
                <c:pt idx="69">
                  <c:v>1984.47</c:v>
                </c:pt>
                <c:pt idx="70">
                  <c:v>2013.42</c:v>
                </c:pt>
                <c:pt idx="71">
                  <c:v>2042.48</c:v>
                </c:pt>
                <c:pt idx="72">
                  <c:v>2071.31</c:v>
                </c:pt>
                <c:pt idx="73">
                  <c:v>2100.0300000000002</c:v>
                </c:pt>
                <c:pt idx="74">
                  <c:v>2128.85</c:v>
                </c:pt>
                <c:pt idx="75">
                  <c:v>2157.63</c:v>
                </c:pt>
                <c:pt idx="76">
                  <c:v>2181</c:v>
                </c:pt>
                <c:pt idx="77">
                  <c:v>2186.54</c:v>
                </c:pt>
                <c:pt idx="78">
                  <c:v>2215.5</c:v>
                </c:pt>
                <c:pt idx="79">
                  <c:v>2244.48</c:v>
                </c:pt>
                <c:pt idx="80">
                  <c:v>2273.52</c:v>
                </c:pt>
                <c:pt idx="81">
                  <c:v>2302.4299999999998</c:v>
                </c:pt>
                <c:pt idx="82">
                  <c:v>2331.5700000000002</c:v>
                </c:pt>
                <c:pt idx="83">
                  <c:v>2360.35</c:v>
                </c:pt>
                <c:pt idx="84">
                  <c:v>2389.44</c:v>
                </c:pt>
                <c:pt idx="85">
                  <c:v>2418.44</c:v>
                </c:pt>
                <c:pt idx="86">
                  <c:v>2447.41</c:v>
                </c:pt>
                <c:pt idx="87">
                  <c:v>2474</c:v>
                </c:pt>
                <c:pt idx="88">
                  <c:v>2476.48</c:v>
                </c:pt>
                <c:pt idx="89">
                  <c:v>2505.44</c:v>
                </c:pt>
                <c:pt idx="90">
                  <c:v>2534.2800000000002</c:v>
                </c:pt>
                <c:pt idx="91">
                  <c:v>2563.2199999999998</c:v>
                </c:pt>
                <c:pt idx="92">
                  <c:v>2592.0500000000002</c:v>
                </c:pt>
                <c:pt idx="93">
                  <c:v>2620.88</c:v>
                </c:pt>
                <c:pt idx="94">
                  <c:v>2649.93</c:v>
                </c:pt>
                <c:pt idx="95">
                  <c:v>2678.54</c:v>
                </c:pt>
                <c:pt idx="96">
                  <c:v>2707.43</c:v>
                </c:pt>
                <c:pt idx="97">
                  <c:v>2736.05</c:v>
                </c:pt>
                <c:pt idx="98">
                  <c:v>2764.93</c:v>
                </c:pt>
                <c:pt idx="99">
                  <c:v>2793.86</c:v>
                </c:pt>
                <c:pt idx="100">
                  <c:v>2822.8</c:v>
                </c:pt>
                <c:pt idx="101">
                  <c:v>2851.69</c:v>
                </c:pt>
                <c:pt idx="102">
                  <c:v>2880.74</c:v>
                </c:pt>
                <c:pt idx="103">
                  <c:v>2885.2</c:v>
                </c:pt>
                <c:pt idx="104">
                  <c:v>2897.7</c:v>
                </c:pt>
                <c:pt idx="105">
                  <c:v>2909.88</c:v>
                </c:pt>
                <c:pt idx="106" formatCode="General">
                  <c:v>2910.2</c:v>
                </c:pt>
                <c:pt idx="107" formatCode="General">
                  <c:v>2922.7</c:v>
                </c:pt>
                <c:pt idx="108">
                  <c:v>2927.2</c:v>
                </c:pt>
                <c:pt idx="109" formatCode="General">
                  <c:v>2935.2</c:v>
                </c:pt>
                <c:pt idx="110">
                  <c:v>2939.01</c:v>
                </c:pt>
                <c:pt idx="111" formatCode="General">
                  <c:v>2947.7</c:v>
                </c:pt>
                <c:pt idx="112" formatCode="General">
                  <c:v>2960.2</c:v>
                </c:pt>
                <c:pt idx="113">
                  <c:v>2968.16</c:v>
                </c:pt>
                <c:pt idx="114">
                  <c:v>2972.7</c:v>
                </c:pt>
                <c:pt idx="115" formatCode="General">
                  <c:v>2985.2</c:v>
                </c:pt>
                <c:pt idx="116">
                  <c:v>2997.28</c:v>
                </c:pt>
                <c:pt idx="117" formatCode="General">
                  <c:v>2997.7</c:v>
                </c:pt>
                <c:pt idx="118" formatCode="General">
                  <c:v>3010.2</c:v>
                </c:pt>
                <c:pt idx="119">
                  <c:v>3022.7</c:v>
                </c:pt>
                <c:pt idx="120">
                  <c:v>3026.48</c:v>
                </c:pt>
                <c:pt idx="121" formatCode="General">
                  <c:v>3027.7</c:v>
                </c:pt>
                <c:pt idx="122">
                  <c:v>3055.7</c:v>
                </c:pt>
                <c:pt idx="123">
                  <c:v>3084.97</c:v>
                </c:pt>
                <c:pt idx="124">
                  <c:v>3107.03</c:v>
                </c:pt>
                <c:pt idx="125">
                  <c:v>3126.76</c:v>
                </c:pt>
                <c:pt idx="126">
                  <c:v>3154.93</c:v>
                </c:pt>
                <c:pt idx="127">
                  <c:v>3184.21</c:v>
                </c:pt>
                <c:pt idx="128" formatCode="General">
                  <c:v>3205</c:v>
                </c:pt>
                <c:pt idx="129" formatCode="General">
                  <c:v>3212.5</c:v>
                </c:pt>
                <c:pt idx="130">
                  <c:v>3213.31</c:v>
                </c:pt>
                <c:pt idx="131">
                  <c:v>3225</c:v>
                </c:pt>
                <c:pt idx="132" formatCode="General">
                  <c:v>3237.5</c:v>
                </c:pt>
                <c:pt idx="133">
                  <c:v>3242.25</c:v>
                </c:pt>
                <c:pt idx="134" formatCode="General">
                  <c:v>3250</c:v>
                </c:pt>
                <c:pt idx="135" formatCode="General">
                  <c:v>3262.5</c:v>
                </c:pt>
                <c:pt idx="136">
                  <c:v>3271.08</c:v>
                </c:pt>
                <c:pt idx="137">
                  <c:v>3275</c:v>
                </c:pt>
                <c:pt idx="138" formatCode="General">
                  <c:v>3287.5</c:v>
                </c:pt>
                <c:pt idx="139" formatCode="General">
                  <c:v>3300</c:v>
                </c:pt>
                <c:pt idx="140">
                  <c:v>3300.2</c:v>
                </c:pt>
                <c:pt idx="141" formatCode="General">
                  <c:v>3305</c:v>
                </c:pt>
                <c:pt idx="142">
                  <c:v>3312.5</c:v>
                </c:pt>
                <c:pt idx="143" formatCode="General">
                  <c:v>3325</c:v>
                </c:pt>
                <c:pt idx="144">
                  <c:v>3329.22</c:v>
                </c:pt>
                <c:pt idx="145" formatCode="General">
                  <c:v>3337.5</c:v>
                </c:pt>
                <c:pt idx="146" formatCode="General">
                  <c:v>3350</c:v>
                </c:pt>
                <c:pt idx="147">
                  <c:v>3358.12</c:v>
                </c:pt>
                <c:pt idx="148">
                  <c:v>3362.5</c:v>
                </c:pt>
                <c:pt idx="149" formatCode="General">
                  <c:v>3375</c:v>
                </c:pt>
                <c:pt idx="150">
                  <c:v>3387.09</c:v>
                </c:pt>
                <c:pt idx="151" formatCode="General">
                  <c:v>3387.5</c:v>
                </c:pt>
                <c:pt idx="152">
                  <c:v>3400</c:v>
                </c:pt>
                <c:pt idx="153" formatCode="General">
                  <c:v>3405</c:v>
                </c:pt>
                <c:pt idx="154">
                  <c:v>3416.2</c:v>
                </c:pt>
                <c:pt idx="155">
                  <c:v>3444.81</c:v>
                </c:pt>
                <c:pt idx="156" formatCode="General">
                  <c:v>3459</c:v>
                </c:pt>
                <c:pt idx="157">
                  <c:v>3466.5</c:v>
                </c:pt>
                <c:pt idx="158">
                  <c:v>3474.08</c:v>
                </c:pt>
                <c:pt idx="159">
                  <c:v>3479</c:v>
                </c:pt>
                <c:pt idx="160">
                  <c:v>3491.5</c:v>
                </c:pt>
                <c:pt idx="161">
                  <c:v>3503.02</c:v>
                </c:pt>
                <c:pt idx="162" formatCode="General">
                  <c:v>3504</c:v>
                </c:pt>
                <c:pt idx="163" formatCode="General">
                  <c:v>3516.5</c:v>
                </c:pt>
                <c:pt idx="164">
                  <c:v>3529</c:v>
                </c:pt>
                <c:pt idx="165">
                  <c:v>3532.14</c:v>
                </c:pt>
                <c:pt idx="166" formatCode="General">
                  <c:v>3541.5</c:v>
                </c:pt>
                <c:pt idx="167" formatCode="General">
                  <c:v>3554</c:v>
                </c:pt>
                <c:pt idx="168">
                  <c:v>3559</c:v>
                </c:pt>
                <c:pt idx="169">
                  <c:v>3561.06</c:v>
                </c:pt>
                <c:pt idx="170" formatCode="General">
                  <c:v>3566.5</c:v>
                </c:pt>
                <c:pt idx="171" formatCode="General">
                  <c:v>3579</c:v>
                </c:pt>
                <c:pt idx="172">
                  <c:v>3590.09</c:v>
                </c:pt>
                <c:pt idx="173" formatCode="General">
                  <c:v>3591.5</c:v>
                </c:pt>
                <c:pt idx="174">
                  <c:v>3604</c:v>
                </c:pt>
                <c:pt idx="175" formatCode="General">
                  <c:v>3616.5</c:v>
                </c:pt>
                <c:pt idx="176">
                  <c:v>3619.2</c:v>
                </c:pt>
                <c:pt idx="177" formatCode="General">
                  <c:v>3629</c:v>
                </c:pt>
                <c:pt idx="178" formatCode="General">
                  <c:v>3641.5</c:v>
                </c:pt>
                <c:pt idx="179">
                  <c:v>3648.08</c:v>
                </c:pt>
                <c:pt idx="180">
                  <c:v>3654</c:v>
                </c:pt>
                <c:pt idx="181" formatCode="General">
                  <c:v>3659</c:v>
                </c:pt>
                <c:pt idx="182" formatCode="General">
                  <c:v>3666.5</c:v>
                </c:pt>
                <c:pt idx="183">
                  <c:v>3677.05</c:v>
                </c:pt>
                <c:pt idx="184">
                  <c:v>3679</c:v>
                </c:pt>
                <c:pt idx="185" formatCode="General">
                  <c:v>3691.5</c:v>
                </c:pt>
                <c:pt idx="186" formatCode="General">
                  <c:v>3704</c:v>
                </c:pt>
                <c:pt idx="187">
                  <c:v>3706.03</c:v>
                </c:pt>
                <c:pt idx="188" formatCode="General">
                  <c:v>3709</c:v>
                </c:pt>
                <c:pt idx="189">
                  <c:v>3728.95</c:v>
                </c:pt>
                <c:pt idx="190">
                  <c:v>3758.4</c:v>
                </c:pt>
                <c:pt idx="191">
                  <c:v>3787.61</c:v>
                </c:pt>
                <c:pt idx="192">
                  <c:v>3816.51</c:v>
                </c:pt>
                <c:pt idx="193">
                  <c:v>3845.51</c:v>
                </c:pt>
                <c:pt idx="194">
                  <c:v>3862.9</c:v>
                </c:pt>
                <c:pt idx="195" formatCode="General">
                  <c:v>3870.4</c:v>
                </c:pt>
                <c:pt idx="196">
                  <c:v>3874.44</c:v>
                </c:pt>
                <c:pt idx="197" formatCode="General">
                  <c:v>3882.9</c:v>
                </c:pt>
                <c:pt idx="198">
                  <c:v>3895.4</c:v>
                </c:pt>
                <c:pt idx="199">
                  <c:v>3903.64</c:v>
                </c:pt>
                <c:pt idx="200" formatCode="General">
                  <c:v>3907.9</c:v>
                </c:pt>
                <c:pt idx="201" formatCode="General">
                  <c:v>3912.9</c:v>
                </c:pt>
                <c:pt idx="202" formatCode="General">
                  <c:v>3920.4</c:v>
                </c:pt>
                <c:pt idx="203">
                  <c:v>3932.38</c:v>
                </c:pt>
                <c:pt idx="204">
                  <c:v>3932.9</c:v>
                </c:pt>
                <c:pt idx="205" formatCode="General">
                  <c:v>3945.4</c:v>
                </c:pt>
                <c:pt idx="206" formatCode="General">
                  <c:v>3957.9</c:v>
                </c:pt>
                <c:pt idx="207">
                  <c:v>3961.19</c:v>
                </c:pt>
                <c:pt idx="208">
                  <c:v>3962.9</c:v>
                </c:pt>
                <c:pt idx="209" formatCode="General">
                  <c:v>3970.4</c:v>
                </c:pt>
                <c:pt idx="210" formatCode="General">
                  <c:v>3982.9</c:v>
                </c:pt>
                <c:pt idx="211">
                  <c:v>3990.21</c:v>
                </c:pt>
                <c:pt idx="212" formatCode="General">
                  <c:v>3995.4</c:v>
                </c:pt>
                <c:pt idx="213">
                  <c:v>4007.9</c:v>
                </c:pt>
                <c:pt idx="214" formatCode="General">
                  <c:v>4012.9</c:v>
                </c:pt>
                <c:pt idx="215">
                  <c:v>4019.24</c:v>
                </c:pt>
                <c:pt idx="216" formatCode="General">
                  <c:v>4020.4</c:v>
                </c:pt>
                <c:pt idx="217">
                  <c:v>4032.9</c:v>
                </c:pt>
                <c:pt idx="218" formatCode="General">
                  <c:v>4045.4</c:v>
                </c:pt>
                <c:pt idx="219">
                  <c:v>4048.23</c:v>
                </c:pt>
                <c:pt idx="220" formatCode="General">
                  <c:v>4057.9</c:v>
                </c:pt>
                <c:pt idx="221" formatCode="General">
                  <c:v>4062.9</c:v>
                </c:pt>
                <c:pt idx="222">
                  <c:v>4070.4</c:v>
                </c:pt>
                <c:pt idx="223">
                  <c:v>4077.24</c:v>
                </c:pt>
                <c:pt idx="224" formatCode="General">
                  <c:v>4082.9</c:v>
                </c:pt>
                <c:pt idx="225" formatCode="General">
                  <c:v>4095.4</c:v>
                </c:pt>
                <c:pt idx="226">
                  <c:v>4106.13</c:v>
                </c:pt>
                <c:pt idx="227" formatCode="General">
                  <c:v>4107.8999999999996</c:v>
                </c:pt>
                <c:pt idx="228">
                  <c:v>4112.8999999999996</c:v>
                </c:pt>
                <c:pt idx="229">
                  <c:v>4135.3</c:v>
                </c:pt>
                <c:pt idx="230">
                  <c:v>4164.16</c:v>
                </c:pt>
                <c:pt idx="231">
                  <c:v>4193.21</c:v>
                </c:pt>
                <c:pt idx="232" formatCode="General">
                  <c:v>4208.3</c:v>
                </c:pt>
                <c:pt idx="233" formatCode="General">
                  <c:v>4215.8</c:v>
                </c:pt>
                <c:pt idx="234">
                  <c:v>4221.84</c:v>
                </c:pt>
                <c:pt idx="235">
                  <c:v>4228.3</c:v>
                </c:pt>
                <c:pt idx="236" formatCode="General">
                  <c:v>4240.8</c:v>
                </c:pt>
                <c:pt idx="237">
                  <c:v>4250.54</c:v>
                </c:pt>
                <c:pt idx="238" formatCode="General">
                  <c:v>4253.3</c:v>
                </c:pt>
                <c:pt idx="239">
                  <c:v>4265.8</c:v>
                </c:pt>
                <c:pt idx="240" formatCode="General">
                  <c:v>4278.3</c:v>
                </c:pt>
                <c:pt idx="241">
                  <c:v>4279.54</c:v>
                </c:pt>
                <c:pt idx="242" formatCode="General">
                  <c:v>4290.8</c:v>
                </c:pt>
                <c:pt idx="243" formatCode="General">
                  <c:v>4303.3</c:v>
                </c:pt>
                <c:pt idx="244">
                  <c:v>4308.3</c:v>
                </c:pt>
                <c:pt idx="245">
                  <c:v>4308.3900000000003</c:v>
                </c:pt>
                <c:pt idx="246" formatCode="General">
                  <c:v>4315.8</c:v>
                </c:pt>
                <c:pt idx="247" formatCode="General">
                  <c:v>4328.3</c:v>
                </c:pt>
                <c:pt idx="248">
                  <c:v>4337.3</c:v>
                </c:pt>
                <c:pt idx="249" formatCode="General">
                  <c:v>4340.8</c:v>
                </c:pt>
                <c:pt idx="250">
                  <c:v>4353.3</c:v>
                </c:pt>
                <c:pt idx="251" formatCode="General">
                  <c:v>4365.8</c:v>
                </c:pt>
                <c:pt idx="252">
                  <c:v>4366.2</c:v>
                </c:pt>
                <c:pt idx="253" formatCode="General">
                  <c:v>4378.3</c:v>
                </c:pt>
                <c:pt idx="254">
                  <c:v>4390.8</c:v>
                </c:pt>
                <c:pt idx="255">
                  <c:v>4395.0600000000004</c:v>
                </c:pt>
                <c:pt idx="256" formatCode="General">
                  <c:v>4403.3</c:v>
                </c:pt>
                <c:pt idx="257" formatCode="General">
                  <c:v>4408.3</c:v>
                </c:pt>
                <c:pt idx="258">
                  <c:v>4415.8</c:v>
                </c:pt>
                <c:pt idx="259">
                  <c:v>4422.55</c:v>
                </c:pt>
                <c:pt idx="260">
                  <c:v>4428.3</c:v>
                </c:pt>
                <c:pt idx="261">
                  <c:v>4440.8</c:v>
                </c:pt>
                <c:pt idx="262">
                  <c:v>4450.58</c:v>
                </c:pt>
                <c:pt idx="263">
                  <c:v>4453.3</c:v>
                </c:pt>
                <c:pt idx="264" formatCode="General">
                  <c:v>4465.8</c:v>
                </c:pt>
                <c:pt idx="265">
                  <c:v>4478.3</c:v>
                </c:pt>
                <c:pt idx="266">
                  <c:v>4479.54</c:v>
                </c:pt>
                <c:pt idx="267" formatCode="General">
                  <c:v>4490.8</c:v>
                </c:pt>
                <c:pt idx="268" formatCode="General">
                  <c:v>4503.3</c:v>
                </c:pt>
                <c:pt idx="269">
                  <c:v>4508.28</c:v>
                </c:pt>
                <c:pt idx="270">
                  <c:v>4508.3</c:v>
                </c:pt>
                <c:pt idx="271" formatCode="General">
                  <c:v>4515.8</c:v>
                </c:pt>
                <c:pt idx="272" formatCode="General">
                  <c:v>4528.3</c:v>
                </c:pt>
                <c:pt idx="273">
                  <c:v>4537.1400000000003</c:v>
                </c:pt>
                <c:pt idx="274" formatCode="General">
                  <c:v>4540.8</c:v>
                </c:pt>
                <c:pt idx="275">
                  <c:v>4553.3</c:v>
                </c:pt>
                <c:pt idx="276" formatCode="General">
                  <c:v>4565.8</c:v>
                </c:pt>
                <c:pt idx="277">
                  <c:v>4565.9399999999996</c:v>
                </c:pt>
                <c:pt idx="278" formatCode="General">
                  <c:v>4578.3</c:v>
                </c:pt>
                <c:pt idx="279">
                  <c:v>4590.8</c:v>
                </c:pt>
                <c:pt idx="280">
                  <c:v>4595.1499999999996</c:v>
                </c:pt>
                <c:pt idx="281" formatCode="General">
                  <c:v>4603.3</c:v>
                </c:pt>
                <c:pt idx="282" formatCode="General">
                  <c:v>4608.3</c:v>
                </c:pt>
                <c:pt idx="283">
                  <c:v>4624.01</c:v>
                </c:pt>
                <c:pt idx="284" formatCode="General">
                  <c:v>4624.3</c:v>
                </c:pt>
                <c:pt idx="285">
                  <c:v>4631.8</c:v>
                </c:pt>
                <c:pt idx="286" formatCode="General">
                  <c:v>4644.3</c:v>
                </c:pt>
                <c:pt idx="287">
                  <c:v>4652.8999999999996</c:v>
                </c:pt>
                <c:pt idx="288" formatCode="General">
                  <c:v>4656.8</c:v>
                </c:pt>
                <c:pt idx="289" formatCode="General">
                  <c:v>4669.3</c:v>
                </c:pt>
                <c:pt idx="290">
                  <c:v>4681.8</c:v>
                </c:pt>
                <c:pt idx="291">
                  <c:v>4681.88</c:v>
                </c:pt>
                <c:pt idx="292" formatCode="General">
                  <c:v>4694.3</c:v>
                </c:pt>
                <c:pt idx="293" formatCode="General">
                  <c:v>4706.8</c:v>
                </c:pt>
                <c:pt idx="294">
                  <c:v>4710.72</c:v>
                </c:pt>
                <c:pt idx="295">
                  <c:v>4719.3</c:v>
                </c:pt>
                <c:pt idx="296" formatCode="General">
                  <c:v>4724.3</c:v>
                </c:pt>
                <c:pt idx="297">
                  <c:v>4739.87</c:v>
                </c:pt>
                <c:pt idx="298">
                  <c:v>4768.9799999999996</c:v>
                </c:pt>
                <c:pt idx="299">
                  <c:v>4797.76</c:v>
                </c:pt>
                <c:pt idx="300">
                  <c:v>4826.84</c:v>
                </c:pt>
                <c:pt idx="301" formatCode="General">
                  <c:v>4854.8999999999996</c:v>
                </c:pt>
                <c:pt idx="302">
                  <c:v>4855.8500000000004</c:v>
                </c:pt>
                <c:pt idx="303" formatCode="General">
                  <c:v>4862.3999999999996</c:v>
                </c:pt>
                <c:pt idx="304">
                  <c:v>4874.8999999999996</c:v>
                </c:pt>
                <c:pt idx="305">
                  <c:v>4885.0200000000004</c:v>
                </c:pt>
                <c:pt idx="306" formatCode="General">
                  <c:v>4887.3999999999996</c:v>
                </c:pt>
                <c:pt idx="307" formatCode="General">
                  <c:v>4899.8999999999996</c:v>
                </c:pt>
                <c:pt idx="308">
                  <c:v>4912.3999999999996</c:v>
                </c:pt>
                <c:pt idx="309">
                  <c:v>4913.55</c:v>
                </c:pt>
                <c:pt idx="310" formatCode="General">
                  <c:v>4924.8999999999996</c:v>
                </c:pt>
                <c:pt idx="311" formatCode="General">
                  <c:v>4937.3999999999996</c:v>
                </c:pt>
                <c:pt idx="312">
                  <c:v>4942.6400000000003</c:v>
                </c:pt>
                <c:pt idx="313" formatCode="General">
                  <c:v>4949.8999999999996</c:v>
                </c:pt>
                <c:pt idx="314">
                  <c:v>4954.8999999999996</c:v>
                </c:pt>
                <c:pt idx="315">
                  <c:v>4962.3999999999996</c:v>
                </c:pt>
                <c:pt idx="316">
                  <c:v>4971.1099999999997</c:v>
                </c:pt>
                <c:pt idx="317">
                  <c:v>4974.8999999999996</c:v>
                </c:pt>
                <c:pt idx="318">
                  <c:v>4987.3999999999996</c:v>
                </c:pt>
                <c:pt idx="319">
                  <c:v>4999.8999999999996</c:v>
                </c:pt>
                <c:pt idx="320">
                  <c:v>5000.5200000000004</c:v>
                </c:pt>
                <c:pt idx="321" formatCode="General">
                  <c:v>5012.3999999999996</c:v>
                </c:pt>
                <c:pt idx="322" formatCode="General">
                  <c:v>5024.8999999999996</c:v>
                </c:pt>
                <c:pt idx="323">
                  <c:v>5029.5200000000004</c:v>
                </c:pt>
                <c:pt idx="324">
                  <c:v>5037.3999999999996</c:v>
                </c:pt>
                <c:pt idx="325" formatCode="General">
                  <c:v>5049.8999999999996</c:v>
                </c:pt>
                <c:pt idx="326" formatCode="General">
                  <c:v>5054.8999999999996</c:v>
                </c:pt>
                <c:pt idx="327">
                  <c:v>5057.6499999999996</c:v>
                </c:pt>
                <c:pt idx="328" formatCode="General">
                  <c:v>5062.3999999999996</c:v>
                </c:pt>
                <c:pt idx="329">
                  <c:v>5074.8999999999996</c:v>
                </c:pt>
                <c:pt idx="330">
                  <c:v>5085.29</c:v>
                </c:pt>
                <c:pt idx="331" formatCode="General">
                  <c:v>5087.3999999999996</c:v>
                </c:pt>
                <c:pt idx="332" formatCode="General">
                  <c:v>5099.8999999999996</c:v>
                </c:pt>
                <c:pt idx="333" formatCode="General">
                  <c:v>5104.8999999999996</c:v>
                </c:pt>
                <c:pt idx="334">
                  <c:v>5114.55</c:v>
                </c:pt>
                <c:pt idx="335">
                  <c:v>5143.82</c:v>
                </c:pt>
                <c:pt idx="336">
                  <c:v>5172.68</c:v>
                </c:pt>
                <c:pt idx="337">
                  <c:v>5201.7</c:v>
                </c:pt>
                <c:pt idx="338">
                  <c:v>5230.72</c:v>
                </c:pt>
                <c:pt idx="339">
                  <c:v>5241.3</c:v>
                </c:pt>
                <c:pt idx="340" formatCode="General">
                  <c:v>5248.8</c:v>
                </c:pt>
                <c:pt idx="341">
                  <c:v>5259.84</c:v>
                </c:pt>
                <c:pt idx="342" formatCode="General">
                  <c:v>5261.3</c:v>
                </c:pt>
                <c:pt idx="343">
                  <c:v>5273.8</c:v>
                </c:pt>
                <c:pt idx="344" formatCode="General">
                  <c:v>5286.3</c:v>
                </c:pt>
                <c:pt idx="345">
                  <c:v>5289.38</c:v>
                </c:pt>
                <c:pt idx="346">
                  <c:v>5291.3</c:v>
                </c:pt>
                <c:pt idx="347">
                  <c:v>5311.3</c:v>
                </c:pt>
                <c:pt idx="348" formatCode="General">
                  <c:v>5318.8</c:v>
                </c:pt>
                <c:pt idx="349">
                  <c:v>5318.84</c:v>
                </c:pt>
                <c:pt idx="350">
                  <c:v>5331.3</c:v>
                </c:pt>
                <c:pt idx="351" formatCode="General">
                  <c:v>5343.8</c:v>
                </c:pt>
                <c:pt idx="352">
                  <c:v>5348.37</c:v>
                </c:pt>
                <c:pt idx="353">
                  <c:v>5356.3</c:v>
                </c:pt>
                <c:pt idx="354">
                  <c:v>5377.69</c:v>
                </c:pt>
                <c:pt idx="355">
                  <c:v>5406.98</c:v>
                </c:pt>
                <c:pt idx="356">
                  <c:v>5428</c:v>
                </c:pt>
                <c:pt idx="357">
                  <c:v>5436.05</c:v>
                </c:pt>
                <c:pt idx="358">
                  <c:v>5438.8</c:v>
                </c:pt>
                <c:pt idx="359">
                  <c:v>5465.05</c:v>
                </c:pt>
                <c:pt idx="360">
                  <c:v>5493.82</c:v>
                </c:pt>
                <c:pt idx="361">
                  <c:v>5501.88</c:v>
                </c:pt>
              </c:numCache>
            </c:numRef>
          </c:xVal>
          <c:yVal>
            <c:numRef>
              <c:f>'LCa-3159 '!$T$2:$T$366</c:f>
              <c:numCache>
                <c:formatCode>0.00</c:formatCode>
                <c:ptCount val="364"/>
                <c:pt idx="113">
                  <c:v>6.819999999999709</c:v>
                </c:pt>
                <c:pt idx="116">
                  <c:v>6.6599999999998545</c:v>
                </c:pt>
                <c:pt idx="120">
                  <c:v>6.9100000000003092</c:v>
                </c:pt>
                <c:pt idx="122">
                  <c:v>7.2699999999999818</c:v>
                </c:pt>
                <c:pt idx="123">
                  <c:v>7.5</c:v>
                </c:pt>
                <c:pt idx="124">
                  <c:v>7.5900000000001455</c:v>
                </c:pt>
                <c:pt idx="125">
                  <c:v>7.4400000000000546</c:v>
                </c:pt>
                <c:pt idx="126">
                  <c:v>7.1999999999998181</c:v>
                </c:pt>
                <c:pt idx="127">
                  <c:v>7.2699999999999818</c:v>
                </c:pt>
                <c:pt idx="130">
                  <c:v>7.4599999999995816</c:v>
                </c:pt>
                <c:pt idx="133">
                  <c:v>7.5500000000001819</c:v>
                </c:pt>
                <c:pt idx="136">
                  <c:v>7.4800000000000182</c:v>
                </c:pt>
                <c:pt idx="140">
                  <c:v>7.3499999999999091</c:v>
                </c:pt>
                <c:pt idx="144">
                  <c:v>7.3499999999999091</c:v>
                </c:pt>
                <c:pt idx="147">
                  <c:v>7.4200000000000728</c:v>
                </c:pt>
                <c:pt idx="150">
                  <c:v>7.2999999999997272</c:v>
                </c:pt>
                <c:pt idx="154">
                  <c:v>7.4500000000002728</c:v>
                </c:pt>
                <c:pt idx="155">
                  <c:v>7.5199999999999818</c:v>
                </c:pt>
                <c:pt idx="158">
                  <c:v>7.3600000000001273</c:v>
                </c:pt>
                <c:pt idx="161">
                  <c:v>7.6799999999998363</c:v>
                </c:pt>
                <c:pt idx="165">
                  <c:v>7.6900000000000546</c:v>
                </c:pt>
                <c:pt idx="169">
                  <c:v>7.5900000000001455</c:v>
                </c:pt>
                <c:pt idx="172">
                  <c:v>7.9000000000000909</c:v>
                </c:pt>
                <c:pt idx="176">
                  <c:v>8.1599999999998545</c:v>
                </c:pt>
                <c:pt idx="179">
                  <c:v>8.1799999999998363</c:v>
                </c:pt>
                <c:pt idx="183">
                  <c:v>8.1900000000000546</c:v>
                </c:pt>
                <c:pt idx="187">
                  <c:v>8.2000000000002728</c:v>
                </c:pt>
                <c:pt idx="189">
                  <c:v>8.2200000000002547</c:v>
                </c:pt>
                <c:pt idx="190">
                  <c:v>8.25</c:v>
                </c:pt>
                <c:pt idx="191">
                  <c:v>8.3000000000001819</c:v>
                </c:pt>
                <c:pt idx="192">
                  <c:v>8.3099999999999454</c:v>
                </c:pt>
                <c:pt idx="193">
                  <c:v>8.0399999999999636</c:v>
                </c:pt>
                <c:pt idx="196">
                  <c:v>7.8000000000001819</c:v>
                </c:pt>
                <c:pt idx="199">
                  <c:v>7.819999999999709</c:v>
                </c:pt>
                <c:pt idx="203">
                  <c:v>7.7999999999997272</c:v>
                </c:pt>
                <c:pt idx="207">
                  <c:v>7.7600000000002183</c:v>
                </c:pt>
                <c:pt idx="211">
                  <c:v>7.7699999999999818</c:v>
                </c:pt>
                <c:pt idx="215">
                  <c:v>7.75</c:v>
                </c:pt>
                <c:pt idx="219">
                  <c:v>7.75</c:v>
                </c:pt>
                <c:pt idx="223">
                  <c:v>7.7699999999999818</c:v>
                </c:pt>
                <c:pt idx="226">
                  <c:v>7.8200000000001637</c:v>
                </c:pt>
                <c:pt idx="229">
                  <c:v>7.9499999999998181</c:v>
                </c:pt>
                <c:pt idx="230">
                  <c:v>8.0299999999997453</c:v>
                </c:pt>
                <c:pt idx="231">
                  <c:v>7.8800000000001091</c:v>
                </c:pt>
                <c:pt idx="234">
                  <c:v>7.7399999999997817</c:v>
                </c:pt>
                <c:pt idx="237">
                  <c:v>7.8899999999998727</c:v>
                </c:pt>
                <c:pt idx="241">
                  <c:v>7.9899999999997817</c:v>
                </c:pt>
                <c:pt idx="245">
                  <c:v>8.2200000000002547</c:v>
                </c:pt>
                <c:pt idx="248">
                  <c:v>8.5999999999999091</c:v>
                </c:pt>
                <c:pt idx="252">
                  <c:v>8.7999999999997272</c:v>
                </c:pt>
                <c:pt idx="255">
                  <c:v>8.7399999999997817</c:v>
                </c:pt>
                <c:pt idx="259">
                  <c:v>8.4200000000000728</c:v>
                </c:pt>
                <c:pt idx="262">
                  <c:v>8.0099999999997635</c:v>
                </c:pt>
                <c:pt idx="266">
                  <c:v>7.8600000000001273</c:v>
                </c:pt>
                <c:pt idx="269">
                  <c:v>7.7300000000000182</c:v>
                </c:pt>
                <c:pt idx="273">
                  <c:v>7.0899999999996908</c:v>
                </c:pt>
                <c:pt idx="277">
                  <c:v>6.6799999999998363</c:v>
                </c:pt>
                <c:pt idx="280">
                  <c:v>6.6799999999998363</c:v>
                </c:pt>
                <c:pt idx="283">
                  <c:v>6.7200000000002547</c:v>
                </c:pt>
                <c:pt idx="287">
                  <c:v>6.7000000000002728</c:v>
                </c:pt>
                <c:pt idx="291">
                  <c:v>6.6400000000003274</c:v>
                </c:pt>
                <c:pt idx="294">
                  <c:v>6.6700000000000728</c:v>
                </c:pt>
                <c:pt idx="297">
                  <c:v>6.75</c:v>
                </c:pt>
                <c:pt idx="298">
                  <c:v>6.0899999999996908</c:v>
                </c:pt>
                <c:pt idx="299">
                  <c:v>5.5100000000002183</c:v>
                </c:pt>
                <c:pt idx="300">
                  <c:v>5.3699999999998909</c:v>
                </c:pt>
                <c:pt idx="302">
                  <c:v>5.1000000000003638</c:v>
                </c:pt>
                <c:pt idx="305">
                  <c:v>4.8299999999999272</c:v>
                </c:pt>
                <c:pt idx="309">
                  <c:v>4.7800000000002001</c:v>
                </c:pt>
                <c:pt idx="312">
                  <c:v>4.9499999999998181</c:v>
                </c:pt>
                <c:pt idx="316">
                  <c:v>4.9600000000000364</c:v>
                </c:pt>
                <c:pt idx="320">
                  <c:v>5.0100000000002183</c:v>
                </c:pt>
                <c:pt idx="323">
                  <c:v>4.8299999999999272</c:v>
                </c:pt>
                <c:pt idx="327">
                  <c:v>4.4499999999998181</c:v>
                </c:pt>
                <c:pt idx="330">
                  <c:v>4.3100000000004002</c:v>
                </c:pt>
                <c:pt idx="334">
                  <c:v>4.5499999999997272</c:v>
                </c:pt>
                <c:pt idx="335">
                  <c:v>4.9200000000000728</c:v>
                </c:pt>
                <c:pt idx="336">
                  <c:v>4.8299999999999272</c:v>
                </c:pt>
                <c:pt idx="337">
                  <c:v>4.4099999999998545</c:v>
                </c:pt>
                <c:pt idx="338">
                  <c:v>4.1700000000000728</c:v>
                </c:pt>
                <c:pt idx="341">
                  <c:v>4.1300000000001091</c:v>
                </c:pt>
                <c:pt idx="345">
                  <c:v>4.1300000000001091</c:v>
                </c:pt>
                <c:pt idx="349">
                  <c:v>4.1999999999998181</c:v>
                </c:pt>
                <c:pt idx="352">
                  <c:v>4.2400000000002365</c:v>
                </c:pt>
                <c:pt idx="354">
                  <c:v>4.1199999999998909</c:v>
                </c:pt>
                <c:pt idx="355">
                  <c:v>4.1900000000000546</c:v>
                </c:pt>
                <c:pt idx="357">
                  <c:v>4.4099999999998545</c:v>
                </c:pt>
                <c:pt idx="359">
                  <c:v>4.5999999999999091</c:v>
                </c:pt>
                <c:pt idx="360">
                  <c:v>4.7199999999997999</c:v>
                </c:pt>
                <c:pt idx="361">
                  <c:v>4.7800000000002001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29-3443-9885-102F41F6C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9865088"/>
        <c:axId val="1079867248"/>
      </c:scatterChart>
      <c:scatterChart>
        <c:scatterStyle val="lineMarker"/>
        <c:varyColors val="0"/>
        <c:ser>
          <c:idx val="0"/>
          <c:order val="0"/>
          <c:tx>
            <c:v>Deformation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'LCa-3159 '!$A$2:$A$363</c:f>
              <c:numCache>
                <c:formatCode>0.00</c:formatCode>
                <c:ptCount val="362"/>
                <c:pt idx="0">
                  <c:v>0</c:v>
                </c:pt>
                <c:pt idx="1">
                  <c:v>26</c:v>
                </c:pt>
                <c:pt idx="2">
                  <c:v>53.67</c:v>
                </c:pt>
                <c:pt idx="3">
                  <c:v>81.48</c:v>
                </c:pt>
                <c:pt idx="4">
                  <c:v>106.59</c:v>
                </c:pt>
                <c:pt idx="5">
                  <c:v>134.29</c:v>
                </c:pt>
                <c:pt idx="6">
                  <c:v>164.3</c:v>
                </c:pt>
                <c:pt idx="7">
                  <c:v>193.46</c:v>
                </c:pt>
                <c:pt idx="8">
                  <c:v>222.05</c:v>
                </c:pt>
                <c:pt idx="9">
                  <c:v>251.88</c:v>
                </c:pt>
                <c:pt idx="10">
                  <c:v>281.25</c:v>
                </c:pt>
                <c:pt idx="11">
                  <c:v>309.92</c:v>
                </c:pt>
                <c:pt idx="12">
                  <c:v>339.48</c:v>
                </c:pt>
                <c:pt idx="13">
                  <c:v>368.47</c:v>
                </c:pt>
                <c:pt idx="14">
                  <c:v>398.05</c:v>
                </c:pt>
                <c:pt idx="15">
                  <c:v>427.65</c:v>
                </c:pt>
                <c:pt idx="16">
                  <c:v>457.21</c:v>
                </c:pt>
                <c:pt idx="17">
                  <c:v>486.77</c:v>
                </c:pt>
                <c:pt idx="18">
                  <c:v>516.37</c:v>
                </c:pt>
                <c:pt idx="19">
                  <c:v>545.29999999999995</c:v>
                </c:pt>
                <c:pt idx="20">
                  <c:v>574.98</c:v>
                </c:pt>
                <c:pt idx="21">
                  <c:v>604.65</c:v>
                </c:pt>
                <c:pt idx="22">
                  <c:v>634</c:v>
                </c:pt>
                <c:pt idx="23">
                  <c:v>663.09</c:v>
                </c:pt>
                <c:pt idx="24">
                  <c:v>692.15</c:v>
                </c:pt>
                <c:pt idx="25">
                  <c:v>720.93</c:v>
                </c:pt>
                <c:pt idx="26">
                  <c:v>742.79</c:v>
                </c:pt>
                <c:pt idx="27">
                  <c:v>773.92</c:v>
                </c:pt>
                <c:pt idx="28">
                  <c:v>802.87</c:v>
                </c:pt>
                <c:pt idx="29">
                  <c:v>832.04</c:v>
                </c:pt>
                <c:pt idx="30">
                  <c:v>861.02</c:v>
                </c:pt>
                <c:pt idx="31">
                  <c:v>889.93</c:v>
                </c:pt>
                <c:pt idx="32">
                  <c:v>918.8</c:v>
                </c:pt>
                <c:pt idx="33">
                  <c:v>947.97</c:v>
                </c:pt>
                <c:pt idx="34">
                  <c:v>977.14</c:v>
                </c:pt>
                <c:pt idx="35">
                  <c:v>1006.39</c:v>
                </c:pt>
                <c:pt idx="36">
                  <c:v>1035.49</c:v>
                </c:pt>
                <c:pt idx="37">
                  <c:v>1064.6300000000001</c:v>
                </c:pt>
                <c:pt idx="38">
                  <c:v>1093.1300000000001</c:v>
                </c:pt>
                <c:pt idx="39">
                  <c:v>1122.24</c:v>
                </c:pt>
                <c:pt idx="40">
                  <c:v>1151.47</c:v>
                </c:pt>
                <c:pt idx="41">
                  <c:v>1179.9100000000001</c:v>
                </c:pt>
                <c:pt idx="42">
                  <c:v>1208.47</c:v>
                </c:pt>
                <c:pt idx="43">
                  <c:v>1237.04</c:v>
                </c:pt>
                <c:pt idx="44">
                  <c:v>1265.5899999999999</c:v>
                </c:pt>
                <c:pt idx="45">
                  <c:v>1294.4100000000001</c:v>
                </c:pt>
                <c:pt idx="46">
                  <c:v>1323.3</c:v>
                </c:pt>
                <c:pt idx="47">
                  <c:v>1352.3</c:v>
                </c:pt>
                <c:pt idx="48">
                  <c:v>1383.17</c:v>
                </c:pt>
                <c:pt idx="49">
                  <c:v>1411.42</c:v>
                </c:pt>
                <c:pt idx="50">
                  <c:v>1440.24</c:v>
                </c:pt>
                <c:pt idx="51">
                  <c:v>1469.04</c:v>
                </c:pt>
                <c:pt idx="52">
                  <c:v>1498.03</c:v>
                </c:pt>
                <c:pt idx="53">
                  <c:v>1526.89</c:v>
                </c:pt>
                <c:pt idx="54">
                  <c:v>1555.84</c:v>
                </c:pt>
                <c:pt idx="55">
                  <c:v>1584.66</c:v>
                </c:pt>
                <c:pt idx="56">
                  <c:v>1613.51</c:v>
                </c:pt>
                <c:pt idx="57">
                  <c:v>1642.6</c:v>
                </c:pt>
                <c:pt idx="58">
                  <c:v>1671.77</c:v>
                </c:pt>
                <c:pt idx="59">
                  <c:v>1701.09</c:v>
                </c:pt>
                <c:pt idx="60">
                  <c:v>1729.79</c:v>
                </c:pt>
                <c:pt idx="61">
                  <c:v>1758.54</c:v>
                </c:pt>
                <c:pt idx="62">
                  <c:v>1787.03</c:v>
                </c:pt>
                <c:pt idx="63">
                  <c:v>1815.88</c:v>
                </c:pt>
                <c:pt idx="64">
                  <c:v>1835.01</c:v>
                </c:pt>
                <c:pt idx="65">
                  <c:v>1868.38</c:v>
                </c:pt>
                <c:pt idx="66">
                  <c:v>1897.7</c:v>
                </c:pt>
                <c:pt idx="67">
                  <c:v>1926.63</c:v>
                </c:pt>
                <c:pt idx="68">
                  <c:v>1955.63</c:v>
                </c:pt>
                <c:pt idx="69">
                  <c:v>1984.47</c:v>
                </c:pt>
                <c:pt idx="70">
                  <c:v>2013.42</c:v>
                </c:pt>
                <c:pt idx="71">
                  <c:v>2042.48</c:v>
                </c:pt>
                <c:pt idx="72">
                  <c:v>2071.31</c:v>
                </c:pt>
                <c:pt idx="73">
                  <c:v>2100.0300000000002</c:v>
                </c:pt>
                <c:pt idx="74">
                  <c:v>2128.85</c:v>
                </c:pt>
                <c:pt idx="75">
                  <c:v>2157.63</c:v>
                </c:pt>
                <c:pt idx="76">
                  <c:v>2181</c:v>
                </c:pt>
                <c:pt idx="77">
                  <c:v>2186.54</c:v>
                </c:pt>
                <c:pt idx="78">
                  <c:v>2215.5</c:v>
                </c:pt>
                <c:pt idx="79">
                  <c:v>2244.48</c:v>
                </c:pt>
                <c:pt idx="80">
                  <c:v>2273.52</c:v>
                </c:pt>
                <c:pt idx="81">
                  <c:v>2302.4299999999998</c:v>
                </c:pt>
                <c:pt idx="82">
                  <c:v>2331.5700000000002</c:v>
                </c:pt>
                <c:pt idx="83">
                  <c:v>2360.35</c:v>
                </c:pt>
                <c:pt idx="84">
                  <c:v>2389.44</c:v>
                </c:pt>
                <c:pt idx="85">
                  <c:v>2418.44</c:v>
                </c:pt>
                <c:pt idx="86">
                  <c:v>2447.41</c:v>
                </c:pt>
                <c:pt idx="87">
                  <c:v>2474</c:v>
                </c:pt>
                <c:pt idx="88">
                  <c:v>2476.48</c:v>
                </c:pt>
                <c:pt idx="89">
                  <c:v>2505.44</c:v>
                </c:pt>
                <c:pt idx="90">
                  <c:v>2534.2800000000002</c:v>
                </c:pt>
                <c:pt idx="91">
                  <c:v>2563.2199999999998</c:v>
                </c:pt>
                <c:pt idx="92">
                  <c:v>2592.0500000000002</c:v>
                </c:pt>
                <c:pt idx="93">
                  <c:v>2620.88</c:v>
                </c:pt>
                <c:pt idx="94">
                  <c:v>2649.93</c:v>
                </c:pt>
                <c:pt idx="95">
                  <c:v>2678.54</c:v>
                </c:pt>
                <c:pt idx="96">
                  <c:v>2707.43</c:v>
                </c:pt>
                <c:pt idx="97">
                  <c:v>2736.05</c:v>
                </c:pt>
                <c:pt idx="98">
                  <c:v>2764.93</c:v>
                </c:pt>
                <c:pt idx="99">
                  <c:v>2793.86</c:v>
                </c:pt>
                <c:pt idx="100">
                  <c:v>2822.8</c:v>
                </c:pt>
                <c:pt idx="101">
                  <c:v>2851.69</c:v>
                </c:pt>
                <c:pt idx="102">
                  <c:v>2880.74</c:v>
                </c:pt>
                <c:pt idx="103">
                  <c:v>2885.2</c:v>
                </c:pt>
                <c:pt idx="104">
                  <c:v>2897.7</c:v>
                </c:pt>
                <c:pt idx="105">
                  <c:v>2909.88</c:v>
                </c:pt>
                <c:pt idx="106" formatCode="General">
                  <c:v>2910.2</c:v>
                </c:pt>
                <c:pt idx="107" formatCode="General">
                  <c:v>2922.7</c:v>
                </c:pt>
                <c:pt idx="108">
                  <c:v>2927.2</c:v>
                </c:pt>
                <c:pt idx="109" formatCode="General">
                  <c:v>2935.2</c:v>
                </c:pt>
                <c:pt idx="110">
                  <c:v>2939.01</c:v>
                </c:pt>
                <c:pt idx="111" formatCode="General">
                  <c:v>2947.7</c:v>
                </c:pt>
                <c:pt idx="112" formatCode="General">
                  <c:v>2960.2</c:v>
                </c:pt>
                <c:pt idx="113">
                  <c:v>2968.16</c:v>
                </c:pt>
                <c:pt idx="114">
                  <c:v>2972.7</c:v>
                </c:pt>
                <c:pt idx="115" formatCode="General">
                  <c:v>2985.2</c:v>
                </c:pt>
                <c:pt idx="116">
                  <c:v>2997.28</c:v>
                </c:pt>
                <c:pt idx="117" formatCode="General">
                  <c:v>2997.7</c:v>
                </c:pt>
                <c:pt idx="118" formatCode="General">
                  <c:v>3010.2</c:v>
                </c:pt>
                <c:pt idx="119">
                  <c:v>3022.7</c:v>
                </c:pt>
                <c:pt idx="120">
                  <c:v>3026.48</c:v>
                </c:pt>
                <c:pt idx="121" formatCode="General">
                  <c:v>3027.7</c:v>
                </c:pt>
                <c:pt idx="122">
                  <c:v>3055.7</c:v>
                </c:pt>
                <c:pt idx="123">
                  <c:v>3084.97</c:v>
                </c:pt>
                <c:pt idx="124">
                  <c:v>3107.03</c:v>
                </c:pt>
                <c:pt idx="125">
                  <c:v>3126.76</c:v>
                </c:pt>
                <c:pt idx="126">
                  <c:v>3154.93</c:v>
                </c:pt>
                <c:pt idx="127">
                  <c:v>3184.21</c:v>
                </c:pt>
                <c:pt idx="128" formatCode="General">
                  <c:v>3205</c:v>
                </c:pt>
                <c:pt idx="129" formatCode="General">
                  <c:v>3212.5</c:v>
                </c:pt>
                <c:pt idx="130">
                  <c:v>3213.31</c:v>
                </c:pt>
                <c:pt idx="131">
                  <c:v>3225</c:v>
                </c:pt>
                <c:pt idx="132" formatCode="General">
                  <c:v>3237.5</c:v>
                </c:pt>
                <c:pt idx="133">
                  <c:v>3242.25</c:v>
                </c:pt>
                <c:pt idx="134" formatCode="General">
                  <c:v>3250</c:v>
                </c:pt>
                <c:pt idx="135" formatCode="General">
                  <c:v>3262.5</c:v>
                </c:pt>
                <c:pt idx="136">
                  <c:v>3271.08</c:v>
                </c:pt>
                <c:pt idx="137">
                  <c:v>3275</c:v>
                </c:pt>
                <c:pt idx="138" formatCode="General">
                  <c:v>3287.5</c:v>
                </c:pt>
                <c:pt idx="139" formatCode="General">
                  <c:v>3300</c:v>
                </c:pt>
                <c:pt idx="140">
                  <c:v>3300.2</c:v>
                </c:pt>
                <c:pt idx="141" formatCode="General">
                  <c:v>3305</c:v>
                </c:pt>
                <c:pt idx="142">
                  <c:v>3312.5</c:v>
                </c:pt>
                <c:pt idx="143" formatCode="General">
                  <c:v>3325</c:v>
                </c:pt>
                <c:pt idx="144">
                  <c:v>3329.22</c:v>
                </c:pt>
                <c:pt idx="145" formatCode="General">
                  <c:v>3337.5</c:v>
                </c:pt>
                <c:pt idx="146" formatCode="General">
                  <c:v>3350</c:v>
                </c:pt>
                <c:pt idx="147">
                  <c:v>3358.12</c:v>
                </c:pt>
                <c:pt idx="148">
                  <c:v>3362.5</c:v>
                </c:pt>
                <c:pt idx="149" formatCode="General">
                  <c:v>3375</c:v>
                </c:pt>
                <c:pt idx="150">
                  <c:v>3387.09</c:v>
                </c:pt>
                <c:pt idx="151" formatCode="General">
                  <c:v>3387.5</c:v>
                </c:pt>
                <c:pt idx="152">
                  <c:v>3400</c:v>
                </c:pt>
                <c:pt idx="153" formatCode="General">
                  <c:v>3405</c:v>
                </c:pt>
                <c:pt idx="154">
                  <c:v>3416.2</c:v>
                </c:pt>
                <c:pt idx="155">
                  <c:v>3444.81</c:v>
                </c:pt>
                <c:pt idx="156" formatCode="General">
                  <c:v>3459</c:v>
                </c:pt>
                <c:pt idx="157">
                  <c:v>3466.5</c:v>
                </c:pt>
                <c:pt idx="158">
                  <c:v>3474.08</c:v>
                </c:pt>
                <c:pt idx="159">
                  <c:v>3479</c:v>
                </c:pt>
                <c:pt idx="160">
                  <c:v>3491.5</c:v>
                </c:pt>
                <c:pt idx="161">
                  <c:v>3503.02</c:v>
                </c:pt>
                <c:pt idx="162" formatCode="General">
                  <c:v>3504</c:v>
                </c:pt>
                <c:pt idx="163" formatCode="General">
                  <c:v>3516.5</c:v>
                </c:pt>
                <c:pt idx="164">
                  <c:v>3529</c:v>
                </c:pt>
                <c:pt idx="165">
                  <c:v>3532.14</c:v>
                </c:pt>
                <c:pt idx="166" formatCode="General">
                  <c:v>3541.5</c:v>
                </c:pt>
                <c:pt idx="167" formatCode="General">
                  <c:v>3554</c:v>
                </c:pt>
                <c:pt idx="168">
                  <c:v>3559</c:v>
                </c:pt>
                <c:pt idx="169">
                  <c:v>3561.06</c:v>
                </c:pt>
                <c:pt idx="170" formatCode="General">
                  <c:v>3566.5</c:v>
                </c:pt>
                <c:pt idx="171" formatCode="General">
                  <c:v>3579</c:v>
                </c:pt>
                <c:pt idx="172">
                  <c:v>3590.09</c:v>
                </c:pt>
                <c:pt idx="173" formatCode="General">
                  <c:v>3591.5</c:v>
                </c:pt>
                <c:pt idx="174">
                  <c:v>3604</c:v>
                </c:pt>
                <c:pt idx="175" formatCode="General">
                  <c:v>3616.5</c:v>
                </c:pt>
                <c:pt idx="176">
                  <c:v>3619.2</c:v>
                </c:pt>
                <c:pt idx="177" formatCode="General">
                  <c:v>3629</c:v>
                </c:pt>
                <c:pt idx="178" formatCode="General">
                  <c:v>3641.5</c:v>
                </c:pt>
                <c:pt idx="179">
                  <c:v>3648.08</c:v>
                </c:pt>
                <c:pt idx="180">
                  <c:v>3654</c:v>
                </c:pt>
                <c:pt idx="181" formatCode="General">
                  <c:v>3659</c:v>
                </c:pt>
                <c:pt idx="182" formatCode="General">
                  <c:v>3666.5</c:v>
                </c:pt>
                <c:pt idx="183">
                  <c:v>3677.05</c:v>
                </c:pt>
                <c:pt idx="184">
                  <c:v>3679</c:v>
                </c:pt>
                <c:pt idx="185" formatCode="General">
                  <c:v>3691.5</c:v>
                </c:pt>
                <c:pt idx="186" formatCode="General">
                  <c:v>3704</c:v>
                </c:pt>
                <c:pt idx="187">
                  <c:v>3706.03</c:v>
                </c:pt>
                <c:pt idx="188" formatCode="General">
                  <c:v>3709</c:v>
                </c:pt>
                <c:pt idx="189">
                  <c:v>3728.95</c:v>
                </c:pt>
                <c:pt idx="190">
                  <c:v>3758.4</c:v>
                </c:pt>
                <c:pt idx="191">
                  <c:v>3787.61</c:v>
                </c:pt>
                <c:pt idx="192">
                  <c:v>3816.51</c:v>
                </c:pt>
                <c:pt idx="193">
                  <c:v>3845.51</c:v>
                </c:pt>
                <c:pt idx="194">
                  <c:v>3862.9</c:v>
                </c:pt>
                <c:pt idx="195" formatCode="General">
                  <c:v>3870.4</c:v>
                </c:pt>
                <c:pt idx="196">
                  <c:v>3874.44</c:v>
                </c:pt>
                <c:pt idx="197" formatCode="General">
                  <c:v>3882.9</c:v>
                </c:pt>
                <c:pt idx="198">
                  <c:v>3895.4</c:v>
                </c:pt>
                <c:pt idx="199">
                  <c:v>3903.64</c:v>
                </c:pt>
                <c:pt idx="200" formatCode="General">
                  <c:v>3907.9</c:v>
                </c:pt>
                <c:pt idx="201" formatCode="General">
                  <c:v>3912.9</c:v>
                </c:pt>
                <c:pt idx="202" formatCode="General">
                  <c:v>3920.4</c:v>
                </c:pt>
                <c:pt idx="203">
                  <c:v>3932.38</c:v>
                </c:pt>
                <c:pt idx="204">
                  <c:v>3932.9</c:v>
                </c:pt>
                <c:pt idx="205" formatCode="General">
                  <c:v>3945.4</c:v>
                </c:pt>
                <c:pt idx="206" formatCode="General">
                  <c:v>3957.9</c:v>
                </c:pt>
                <c:pt idx="207">
                  <c:v>3961.19</c:v>
                </c:pt>
                <c:pt idx="208">
                  <c:v>3962.9</c:v>
                </c:pt>
                <c:pt idx="209" formatCode="General">
                  <c:v>3970.4</c:v>
                </c:pt>
                <c:pt idx="210" formatCode="General">
                  <c:v>3982.9</c:v>
                </c:pt>
                <c:pt idx="211">
                  <c:v>3990.21</c:v>
                </c:pt>
                <c:pt idx="212" formatCode="General">
                  <c:v>3995.4</c:v>
                </c:pt>
                <c:pt idx="213">
                  <c:v>4007.9</c:v>
                </c:pt>
                <c:pt idx="214" formatCode="General">
                  <c:v>4012.9</c:v>
                </c:pt>
                <c:pt idx="215">
                  <c:v>4019.24</c:v>
                </c:pt>
                <c:pt idx="216" formatCode="General">
                  <c:v>4020.4</c:v>
                </c:pt>
                <c:pt idx="217">
                  <c:v>4032.9</c:v>
                </c:pt>
                <c:pt idx="218" formatCode="General">
                  <c:v>4045.4</c:v>
                </c:pt>
                <c:pt idx="219">
                  <c:v>4048.23</c:v>
                </c:pt>
                <c:pt idx="220" formatCode="General">
                  <c:v>4057.9</c:v>
                </c:pt>
                <c:pt idx="221" formatCode="General">
                  <c:v>4062.9</c:v>
                </c:pt>
                <c:pt idx="222">
                  <c:v>4070.4</c:v>
                </c:pt>
                <c:pt idx="223">
                  <c:v>4077.24</c:v>
                </c:pt>
                <c:pt idx="224" formatCode="General">
                  <c:v>4082.9</c:v>
                </c:pt>
                <c:pt idx="225" formatCode="General">
                  <c:v>4095.4</c:v>
                </c:pt>
                <c:pt idx="226">
                  <c:v>4106.13</c:v>
                </c:pt>
                <c:pt idx="227" formatCode="General">
                  <c:v>4107.8999999999996</c:v>
                </c:pt>
                <c:pt idx="228">
                  <c:v>4112.8999999999996</c:v>
                </c:pt>
                <c:pt idx="229">
                  <c:v>4135.3</c:v>
                </c:pt>
                <c:pt idx="230">
                  <c:v>4164.16</c:v>
                </c:pt>
                <c:pt idx="231">
                  <c:v>4193.21</c:v>
                </c:pt>
                <c:pt idx="232" formatCode="General">
                  <c:v>4208.3</c:v>
                </c:pt>
                <c:pt idx="233" formatCode="General">
                  <c:v>4215.8</c:v>
                </c:pt>
                <c:pt idx="234">
                  <c:v>4221.84</c:v>
                </c:pt>
                <c:pt idx="235">
                  <c:v>4228.3</c:v>
                </c:pt>
                <c:pt idx="236" formatCode="General">
                  <c:v>4240.8</c:v>
                </c:pt>
                <c:pt idx="237">
                  <c:v>4250.54</c:v>
                </c:pt>
                <c:pt idx="238" formatCode="General">
                  <c:v>4253.3</c:v>
                </c:pt>
                <c:pt idx="239">
                  <c:v>4265.8</c:v>
                </c:pt>
                <c:pt idx="240" formatCode="General">
                  <c:v>4278.3</c:v>
                </c:pt>
                <c:pt idx="241">
                  <c:v>4279.54</c:v>
                </c:pt>
                <c:pt idx="242" formatCode="General">
                  <c:v>4290.8</c:v>
                </c:pt>
                <c:pt idx="243" formatCode="General">
                  <c:v>4303.3</c:v>
                </c:pt>
                <c:pt idx="244">
                  <c:v>4308.3</c:v>
                </c:pt>
                <c:pt idx="245">
                  <c:v>4308.3900000000003</c:v>
                </c:pt>
                <c:pt idx="246" formatCode="General">
                  <c:v>4315.8</c:v>
                </c:pt>
                <c:pt idx="247" formatCode="General">
                  <c:v>4328.3</c:v>
                </c:pt>
                <c:pt idx="248">
                  <c:v>4337.3</c:v>
                </c:pt>
                <c:pt idx="249" formatCode="General">
                  <c:v>4340.8</c:v>
                </c:pt>
                <c:pt idx="250">
                  <c:v>4353.3</c:v>
                </c:pt>
                <c:pt idx="251" formatCode="General">
                  <c:v>4365.8</c:v>
                </c:pt>
                <c:pt idx="252">
                  <c:v>4366.2</c:v>
                </c:pt>
                <c:pt idx="253" formatCode="General">
                  <c:v>4378.3</c:v>
                </c:pt>
                <c:pt idx="254">
                  <c:v>4390.8</c:v>
                </c:pt>
                <c:pt idx="255">
                  <c:v>4395.0600000000004</c:v>
                </c:pt>
                <c:pt idx="256" formatCode="General">
                  <c:v>4403.3</c:v>
                </c:pt>
                <c:pt idx="257" formatCode="General">
                  <c:v>4408.3</c:v>
                </c:pt>
                <c:pt idx="258">
                  <c:v>4415.8</c:v>
                </c:pt>
                <c:pt idx="259">
                  <c:v>4422.55</c:v>
                </c:pt>
                <c:pt idx="260">
                  <c:v>4428.3</c:v>
                </c:pt>
                <c:pt idx="261">
                  <c:v>4440.8</c:v>
                </c:pt>
                <c:pt idx="262">
                  <c:v>4450.58</c:v>
                </c:pt>
                <c:pt idx="263">
                  <c:v>4453.3</c:v>
                </c:pt>
                <c:pt idx="264" formatCode="General">
                  <c:v>4465.8</c:v>
                </c:pt>
                <c:pt idx="265">
                  <c:v>4478.3</c:v>
                </c:pt>
                <c:pt idx="266">
                  <c:v>4479.54</c:v>
                </c:pt>
                <c:pt idx="267" formatCode="General">
                  <c:v>4490.8</c:v>
                </c:pt>
                <c:pt idx="268" formatCode="General">
                  <c:v>4503.3</c:v>
                </c:pt>
                <c:pt idx="269">
                  <c:v>4508.28</c:v>
                </c:pt>
                <c:pt idx="270">
                  <c:v>4508.3</c:v>
                </c:pt>
                <c:pt idx="271" formatCode="General">
                  <c:v>4515.8</c:v>
                </c:pt>
                <c:pt idx="272" formatCode="General">
                  <c:v>4528.3</c:v>
                </c:pt>
                <c:pt idx="273">
                  <c:v>4537.1400000000003</c:v>
                </c:pt>
                <c:pt idx="274" formatCode="General">
                  <c:v>4540.8</c:v>
                </c:pt>
                <c:pt idx="275">
                  <c:v>4553.3</c:v>
                </c:pt>
                <c:pt idx="276" formatCode="General">
                  <c:v>4565.8</c:v>
                </c:pt>
                <c:pt idx="277">
                  <c:v>4565.9399999999996</c:v>
                </c:pt>
                <c:pt idx="278" formatCode="General">
                  <c:v>4578.3</c:v>
                </c:pt>
                <c:pt idx="279">
                  <c:v>4590.8</c:v>
                </c:pt>
                <c:pt idx="280">
                  <c:v>4595.1499999999996</c:v>
                </c:pt>
                <c:pt idx="281" formatCode="General">
                  <c:v>4603.3</c:v>
                </c:pt>
                <c:pt idx="282" formatCode="General">
                  <c:v>4608.3</c:v>
                </c:pt>
                <c:pt idx="283">
                  <c:v>4624.01</c:v>
                </c:pt>
                <c:pt idx="284" formatCode="General">
                  <c:v>4624.3</c:v>
                </c:pt>
                <c:pt idx="285">
                  <c:v>4631.8</c:v>
                </c:pt>
                <c:pt idx="286" formatCode="General">
                  <c:v>4644.3</c:v>
                </c:pt>
                <c:pt idx="287">
                  <c:v>4652.8999999999996</c:v>
                </c:pt>
                <c:pt idx="288" formatCode="General">
                  <c:v>4656.8</c:v>
                </c:pt>
                <c:pt idx="289" formatCode="General">
                  <c:v>4669.3</c:v>
                </c:pt>
                <c:pt idx="290">
                  <c:v>4681.8</c:v>
                </c:pt>
                <c:pt idx="291">
                  <c:v>4681.88</c:v>
                </c:pt>
                <c:pt idx="292" formatCode="General">
                  <c:v>4694.3</c:v>
                </c:pt>
                <c:pt idx="293" formatCode="General">
                  <c:v>4706.8</c:v>
                </c:pt>
                <c:pt idx="294">
                  <c:v>4710.72</c:v>
                </c:pt>
                <c:pt idx="295">
                  <c:v>4719.3</c:v>
                </c:pt>
                <c:pt idx="296" formatCode="General">
                  <c:v>4724.3</c:v>
                </c:pt>
                <c:pt idx="297">
                  <c:v>4739.87</c:v>
                </c:pt>
                <c:pt idx="298">
                  <c:v>4768.9799999999996</c:v>
                </c:pt>
                <c:pt idx="299">
                  <c:v>4797.76</c:v>
                </c:pt>
                <c:pt idx="300">
                  <c:v>4826.84</c:v>
                </c:pt>
                <c:pt idx="301" formatCode="General">
                  <c:v>4854.8999999999996</c:v>
                </c:pt>
                <c:pt idx="302">
                  <c:v>4855.8500000000004</c:v>
                </c:pt>
                <c:pt idx="303" formatCode="General">
                  <c:v>4862.3999999999996</c:v>
                </c:pt>
                <c:pt idx="304">
                  <c:v>4874.8999999999996</c:v>
                </c:pt>
                <c:pt idx="305">
                  <c:v>4885.0200000000004</c:v>
                </c:pt>
                <c:pt idx="306" formatCode="General">
                  <c:v>4887.3999999999996</c:v>
                </c:pt>
                <c:pt idx="307" formatCode="General">
                  <c:v>4899.8999999999996</c:v>
                </c:pt>
                <c:pt idx="308">
                  <c:v>4912.3999999999996</c:v>
                </c:pt>
                <c:pt idx="309">
                  <c:v>4913.55</c:v>
                </c:pt>
                <c:pt idx="310" formatCode="General">
                  <c:v>4924.8999999999996</c:v>
                </c:pt>
                <c:pt idx="311" formatCode="General">
                  <c:v>4937.3999999999996</c:v>
                </c:pt>
                <c:pt idx="312">
                  <c:v>4942.6400000000003</c:v>
                </c:pt>
                <c:pt idx="313" formatCode="General">
                  <c:v>4949.8999999999996</c:v>
                </c:pt>
                <c:pt idx="314">
                  <c:v>4954.8999999999996</c:v>
                </c:pt>
                <c:pt idx="315">
                  <c:v>4962.3999999999996</c:v>
                </c:pt>
                <c:pt idx="316">
                  <c:v>4971.1099999999997</c:v>
                </c:pt>
                <c:pt idx="317">
                  <c:v>4974.8999999999996</c:v>
                </c:pt>
                <c:pt idx="318">
                  <c:v>4987.3999999999996</c:v>
                </c:pt>
                <c:pt idx="319">
                  <c:v>4999.8999999999996</c:v>
                </c:pt>
                <c:pt idx="320">
                  <c:v>5000.5200000000004</c:v>
                </c:pt>
                <c:pt idx="321" formatCode="General">
                  <c:v>5012.3999999999996</c:v>
                </c:pt>
                <c:pt idx="322" formatCode="General">
                  <c:v>5024.8999999999996</c:v>
                </c:pt>
                <c:pt idx="323">
                  <c:v>5029.5200000000004</c:v>
                </c:pt>
                <c:pt idx="324">
                  <c:v>5037.3999999999996</c:v>
                </c:pt>
                <c:pt idx="325" formatCode="General">
                  <c:v>5049.8999999999996</c:v>
                </c:pt>
                <c:pt idx="326" formatCode="General">
                  <c:v>5054.8999999999996</c:v>
                </c:pt>
                <c:pt idx="327">
                  <c:v>5057.6499999999996</c:v>
                </c:pt>
                <c:pt idx="328" formatCode="General">
                  <c:v>5062.3999999999996</c:v>
                </c:pt>
                <c:pt idx="329">
                  <c:v>5074.8999999999996</c:v>
                </c:pt>
                <c:pt idx="330">
                  <c:v>5085.29</c:v>
                </c:pt>
                <c:pt idx="331" formatCode="General">
                  <c:v>5087.3999999999996</c:v>
                </c:pt>
                <c:pt idx="332" formatCode="General">
                  <c:v>5099.8999999999996</c:v>
                </c:pt>
                <c:pt idx="333" formatCode="General">
                  <c:v>5104.8999999999996</c:v>
                </c:pt>
                <c:pt idx="334">
                  <c:v>5114.55</c:v>
                </c:pt>
                <c:pt idx="335">
                  <c:v>5143.82</c:v>
                </c:pt>
                <c:pt idx="336">
                  <c:v>5172.68</c:v>
                </c:pt>
                <c:pt idx="337">
                  <c:v>5201.7</c:v>
                </c:pt>
                <c:pt idx="338">
                  <c:v>5230.72</c:v>
                </c:pt>
                <c:pt idx="339">
                  <c:v>5241.3</c:v>
                </c:pt>
                <c:pt idx="340" formatCode="General">
                  <c:v>5248.8</c:v>
                </c:pt>
                <c:pt idx="341">
                  <c:v>5259.84</c:v>
                </c:pt>
                <c:pt idx="342" formatCode="General">
                  <c:v>5261.3</c:v>
                </c:pt>
                <c:pt idx="343">
                  <c:v>5273.8</c:v>
                </c:pt>
                <c:pt idx="344" formatCode="General">
                  <c:v>5286.3</c:v>
                </c:pt>
                <c:pt idx="345">
                  <c:v>5289.38</c:v>
                </c:pt>
                <c:pt idx="346">
                  <c:v>5291.3</c:v>
                </c:pt>
                <c:pt idx="347">
                  <c:v>5311.3</c:v>
                </c:pt>
                <c:pt idx="348" formatCode="General">
                  <c:v>5318.8</c:v>
                </c:pt>
                <c:pt idx="349">
                  <c:v>5318.84</c:v>
                </c:pt>
                <c:pt idx="350">
                  <c:v>5331.3</c:v>
                </c:pt>
                <c:pt idx="351" formatCode="General">
                  <c:v>5343.8</c:v>
                </c:pt>
                <c:pt idx="352">
                  <c:v>5348.37</c:v>
                </c:pt>
                <c:pt idx="353">
                  <c:v>5356.3</c:v>
                </c:pt>
                <c:pt idx="354">
                  <c:v>5377.69</c:v>
                </c:pt>
                <c:pt idx="355">
                  <c:v>5406.98</c:v>
                </c:pt>
                <c:pt idx="356">
                  <c:v>5428</c:v>
                </c:pt>
                <c:pt idx="357">
                  <c:v>5436.05</c:v>
                </c:pt>
                <c:pt idx="358">
                  <c:v>5438.8</c:v>
                </c:pt>
                <c:pt idx="359">
                  <c:v>5465.05</c:v>
                </c:pt>
                <c:pt idx="360">
                  <c:v>5493.82</c:v>
                </c:pt>
                <c:pt idx="361">
                  <c:v>5501.88</c:v>
                </c:pt>
              </c:numCache>
            </c:numRef>
          </c:xVal>
          <c:yVal>
            <c:numRef>
              <c:f>'LCa-3159 '!$Y$2:$Y$365</c:f>
              <c:numCache>
                <c:formatCode>0.00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1</c:v>
                </c:pt>
                <c:pt idx="347">
                  <c:v>1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29-3443-9885-102F41F6C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9156176"/>
        <c:axId val="318663488"/>
      </c:scatterChart>
      <c:valAx>
        <c:axId val="1079865088"/>
        <c:scaling>
          <c:orientation val="minMax"/>
          <c:min val="294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O"/>
          </a:p>
        </c:txPr>
        <c:crossAx val="1079867248"/>
        <c:crosses val="autoZero"/>
        <c:crossBetween val="midCat"/>
      </c:valAx>
      <c:valAx>
        <c:axId val="107986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O"/>
          </a:p>
        </c:txPr>
        <c:crossAx val="1079865088"/>
        <c:crosses val="autoZero"/>
        <c:crossBetween val="midCat"/>
      </c:valAx>
      <c:valAx>
        <c:axId val="3186634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O"/>
          </a:p>
        </c:txPr>
        <c:crossAx val="1079156176"/>
        <c:crosses val="max"/>
        <c:crossBetween val="midCat"/>
        <c:majorUnit val="0.5"/>
      </c:valAx>
      <c:valAx>
        <c:axId val="10791561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18663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O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'LCa-3159 '!$A$2:$A$363</c:f>
              <c:numCache>
                <c:formatCode>0.00</c:formatCode>
                <c:ptCount val="362"/>
                <c:pt idx="0">
                  <c:v>0</c:v>
                </c:pt>
                <c:pt idx="1">
                  <c:v>26</c:v>
                </c:pt>
                <c:pt idx="2">
                  <c:v>53.67</c:v>
                </c:pt>
                <c:pt idx="3">
                  <c:v>81.48</c:v>
                </c:pt>
                <c:pt idx="4">
                  <c:v>106.59</c:v>
                </c:pt>
                <c:pt idx="5">
                  <c:v>134.29</c:v>
                </c:pt>
                <c:pt idx="6">
                  <c:v>164.3</c:v>
                </c:pt>
                <c:pt idx="7">
                  <c:v>193.46</c:v>
                </c:pt>
                <c:pt idx="8">
                  <c:v>222.05</c:v>
                </c:pt>
                <c:pt idx="9">
                  <c:v>251.88</c:v>
                </c:pt>
                <c:pt idx="10">
                  <c:v>281.25</c:v>
                </c:pt>
                <c:pt idx="11">
                  <c:v>309.92</c:v>
                </c:pt>
                <c:pt idx="12">
                  <c:v>339.48</c:v>
                </c:pt>
                <c:pt idx="13">
                  <c:v>368.47</c:v>
                </c:pt>
                <c:pt idx="14">
                  <c:v>398.05</c:v>
                </c:pt>
                <c:pt idx="15">
                  <c:v>427.65</c:v>
                </c:pt>
                <c:pt idx="16">
                  <c:v>457.21</c:v>
                </c:pt>
                <c:pt idx="17">
                  <c:v>486.77</c:v>
                </c:pt>
                <c:pt idx="18">
                  <c:v>516.37</c:v>
                </c:pt>
                <c:pt idx="19">
                  <c:v>545.29999999999995</c:v>
                </c:pt>
                <c:pt idx="20">
                  <c:v>574.98</c:v>
                </c:pt>
                <c:pt idx="21">
                  <c:v>604.65</c:v>
                </c:pt>
                <c:pt idx="22">
                  <c:v>634</c:v>
                </c:pt>
                <c:pt idx="23">
                  <c:v>663.09</c:v>
                </c:pt>
                <c:pt idx="24">
                  <c:v>692.15</c:v>
                </c:pt>
                <c:pt idx="25">
                  <c:v>720.93</c:v>
                </c:pt>
                <c:pt idx="26">
                  <c:v>742.79</c:v>
                </c:pt>
                <c:pt idx="27">
                  <c:v>773.92</c:v>
                </c:pt>
                <c:pt idx="28">
                  <c:v>802.87</c:v>
                </c:pt>
                <c:pt idx="29">
                  <c:v>832.04</c:v>
                </c:pt>
                <c:pt idx="30">
                  <c:v>861.02</c:v>
                </c:pt>
                <c:pt idx="31">
                  <c:v>889.93</c:v>
                </c:pt>
                <c:pt idx="32">
                  <c:v>918.8</c:v>
                </c:pt>
                <c:pt idx="33">
                  <c:v>947.97</c:v>
                </c:pt>
                <c:pt idx="34">
                  <c:v>977.14</c:v>
                </c:pt>
                <c:pt idx="35">
                  <c:v>1006.39</c:v>
                </c:pt>
                <c:pt idx="36">
                  <c:v>1035.49</c:v>
                </c:pt>
                <c:pt idx="37">
                  <c:v>1064.6300000000001</c:v>
                </c:pt>
                <c:pt idx="38">
                  <c:v>1093.1300000000001</c:v>
                </c:pt>
                <c:pt idx="39">
                  <c:v>1122.24</c:v>
                </c:pt>
                <c:pt idx="40">
                  <c:v>1151.47</c:v>
                </c:pt>
                <c:pt idx="41">
                  <c:v>1179.9100000000001</c:v>
                </c:pt>
                <c:pt idx="42">
                  <c:v>1208.47</c:v>
                </c:pt>
                <c:pt idx="43">
                  <c:v>1237.04</c:v>
                </c:pt>
                <c:pt idx="44">
                  <c:v>1265.5899999999999</c:v>
                </c:pt>
                <c:pt idx="45">
                  <c:v>1294.4100000000001</c:v>
                </c:pt>
                <c:pt idx="46">
                  <c:v>1323.3</c:v>
                </c:pt>
                <c:pt idx="47">
                  <c:v>1352.3</c:v>
                </c:pt>
                <c:pt idx="48">
                  <c:v>1383.17</c:v>
                </c:pt>
                <c:pt idx="49">
                  <c:v>1411.42</c:v>
                </c:pt>
                <c:pt idx="50">
                  <c:v>1440.24</c:v>
                </c:pt>
                <c:pt idx="51">
                  <c:v>1469.04</c:v>
                </c:pt>
                <c:pt idx="52">
                  <c:v>1498.03</c:v>
                </c:pt>
                <c:pt idx="53">
                  <c:v>1526.89</c:v>
                </c:pt>
                <c:pt idx="54">
                  <c:v>1555.84</c:v>
                </c:pt>
                <c:pt idx="55">
                  <c:v>1584.66</c:v>
                </c:pt>
                <c:pt idx="56">
                  <c:v>1613.51</c:v>
                </c:pt>
                <c:pt idx="57">
                  <c:v>1642.6</c:v>
                </c:pt>
                <c:pt idx="58">
                  <c:v>1671.77</c:v>
                </c:pt>
                <c:pt idx="59">
                  <c:v>1701.09</c:v>
                </c:pt>
                <c:pt idx="60">
                  <c:v>1729.79</c:v>
                </c:pt>
                <c:pt idx="61">
                  <c:v>1758.54</c:v>
                </c:pt>
                <c:pt idx="62">
                  <c:v>1787.03</c:v>
                </c:pt>
                <c:pt idx="63">
                  <c:v>1815.88</c:v>
                </c:pt>
                <c:pt idx="64">
                  <c:v>1835.01</c:v>
                </c:pt>
                <c:pt idx="65">
                  <c:v>1868.38</c:v>
                </c:pt>
                <c:pt idx="66">
                  <c:v>1897.7</c:v>
                </c:pt>
                <c:pt idx="67">
                  <c:v>1926.63</c:v>
                </c:pt>
                <c:pt idx="68">
                  <c:v>1955.63</c:v>
                </c:pt>
                <c:pt idx="69">
                  <c:v>1984.47</c:v>
                </c:pt>
                <c:pt idx="70">
                  <c:v>2013.42</c:v>
                </c:pt>
                <c:pt idx="71">
                  <c:v>2042.48</c:v>
                </c:pt>
                <c:pt idx="72">
                  <c:v>2071.31</c:v>
                </c:pt>
                <c:pt idx="73">
                  <c:v>2100.0300000000002</c:v>
                </c:pt>
                <c:pt idx="74">
                  <c:v>2128.85</c:v>
                </c:pt>
                <c:pt idx="75">
                  <c:v>2157.63</c:v>
                </c:pt>
                <c:pt idx="76">
                  <c:v>2181</c:v>
                </c:pt>
                <c:pt idx="77">
                  <c:v>2186.54</c:v>
                </c:pt>
                <c:pt idx="78">
                  <c:v>2215.5</c:v>
                </c:pt>
                <c:pt idx="79">
                  <c:v>2244.48</c:v>
                </c:pt>
                <c:pt idx="80">
                  <c:v>2273.52</c:v>
                </c:pt>
                <c:pt idx="81">
                  <c:v>2302.4299999999998</c:v>
                </c:pt>
                <c:pt idx="82">
                  <c:v>2331.5700000000002</c:v>
                </c:pt>
                <c:pt idx="83">
                  <c:v>2360.35</c:v>
                </c:pt>
                <c:pt idx="84">
                  <c:v>2389.44</c:v>
                </c:pt>
                <c:pt idx="85">
                  <c:v>2418.44</c:v>
                </c:pt>
                <c:pt idx="86">
                  <c:v>2447.41</c:v>
                </c:pt>
                <c:pt idx="87">
                  <c:v>2474</c:v>
                </c:pt>
                <c:pt idx="88">
                  <c:v>2476.48</c:v>
                </c:pt>
                <c:pt idx="89">
                  <c:v>2505.44</c:v>
                </c:pt>
                <c:pt idx="90">
                  <c:v>2534.2800000000002</c:v>
                </c:pt>
                <c:pt idx="91">
                  <c:v>2563.2199999999998</c:v>
                </c:pt>
                <c:pt idx="92">
                  <c:v>2592.0500000000002</c:v>
                </c:pt>
                <c:pt idx="93">
                  <c:v>2620.88</c:v>
                </c:pt>
                <c:pt idx="94">
                  <c:v>2649.93</c:v>
                </c:pt>
                <c:pt idx="95">
                  <c:v>2678.54</c:v>
                </c:pt>
                <c:pt idx="96">
                  <c:v>2707.43</c:v>
                </c:pt>
                <c:pt idx="97">
                  <c:v>2736.05</c:v>
                </c:pt>
                <c:pt idx="98">
                  <c:v>2764.93</c:v>
                </c:pt>
                <c:pt idx="99">
                  <c:v>2793.86</c:v>
                </c:pt>
                <c:pt idx="100">
                  <c:v>2822.8</c:v>
                </c:pt>
                <c:pt idx="101">
                  <c:v>2851.69</c:v>
                </c:pt>
                <c:pt idx="102">
                  <c:v>2880.74</c:v>
                </c:pt>
                <c:pt idx="103">
                  <c:v>2885.2</c:v>
                </c:pt>
                <c:pt idx="104">
                  <c:v>2897.7</c:v>
                </c:pt>
                <c:pt idx="105">
                  <c:v>2909.88</c:v>
                </c:pt>
                <c:pt idx="106" formatCode="General">
                  <c:v>2910.2</c:v>
                </c:pt>
                <c:pt idx="107" formatCode="General">
                  <c:v>2922.7</c:v>
                </c:pt>
                <c:pt idx="108">
                  <c:v>2927.2</c:v>
                </c:pt>
                <c:pt idx="109" formatCode="General">
                  <c:v>2935.2</c:v>
                </c:pt>
                <c:pt idx="110">
                  <c:v>2939.01</c:v>
                </c:pt>
                <c:pt idx="111" formatCode="General">
                  <c:v>2947.7</c:v>
                </c:pt>
                <c:pt idx="112" formatCode="General">
                  <c:v>2960.2</c:v>
                </c:pt>
                <c:pt idx="113">
                  <c:v>2968.16</c:v>
                </c:pt>
                <c:pt idx="114">
                  <c:v>2972.7</c:v>
                </c:pt>
                <c:pt idx="115" formatCode="General">
                  <c:v>2985.2</c:v>
                </c:pt>
                <c:pt idx="116">
                  <c:v>2997.28</c:v>
                </c:pt>
                <c:pt idx="117" formatCode="General">
                  <c:v>2997.7</c:v>
                </c:pt>
                <c:pt idx="118" formatCode="General">
                  <c:v>3010.2</c:v>
                </c:pt>
                <c:pt idx="119">
                  <c:v>3022.7</c:v>
                </c:pt>
                <c:pt idx="120">
                  <c:v>3026.48</c:v>
                </c:pt>
                <c:pt idx="121" formatCode="General">
                  <c:v>3027.7</c:v>
                </c:pt>
                <c:pt idx="122">
                  <c:v>3055.7</c:v>
                </c:pt>
                <c:pt idx="123">
                  <c:v>3084.97</c:v>
                </c:pt>
                <c:pt idx="124">
                  <c:v>3107.03</c:v>
                </c:pt>
                <c:pt idx="125">
                  <c:v>3126.76</c:v>
                </c:pt>
                <c:pt idx="126">
                  <c:v>3154.93</c:v>
                </c:pt>
                <c:pt idx="127">
                  <c:v>3184.21</c:v>
                </c:pt>
                <c:pt idx="128" formatCode="General">
                  <c:v>3205</c:v>
                </c:pt>
                <c:pt idx="129" formatCode="General">
                  <c:v>3212.5</c:v>
                </c:pt>
                <c:pt idx="130">
                  <c:v>3213.31</c:v>
                </c:pt>
                <c:pt idx="131">
                  <c:v>3225</c:v>
                </c:pt>
                <c:pt idx="132" formatCode="General">
                  <c:v>3237.5</c:v>
                </c:pt>
                <c:pt idx="133">
                  <c:v>3242.25</c:v>
                </c:pt>
                <c:pt idx="134" formatCode="General">
                  <c:v>3250</c:v>
                </c:pt>
                <c:pt idx="135" formatCode="General">
                  <c:v>3262.5</c:v>
                </c:pt>
                <c:pt idx="136">
                  <c:v>3271.08</c:v>
                </c:pt>
                <c:pt idx="137">
                  <c:v>3275</c:v>
                </c:pt>
                <c:pt idx="138" formatCode="General">
                  <c:v>3287.5</c:v>
                </c:pt>
                <c:pt idx="139" formatCode="General">
                  <c:v>3300</c:v>
                </c:pt>
                <c:pt idx="140">
                  <c:v>3300.2</c:v>
                </c:pt>
                <c:pt idx="141" formatCode="General">
                  <c:v>3305</c:v>
                </c:pt>
                <c:pt idx="142">
                  <c:v>3312.5</c:v>
                </c:pt>
                <c:pt idx="143" formatCode="General">
                  <c:v>3325</c:v>
                </c:pt>
                <c:pt idx="144">
                  <c:v>3329.22</c:v>
                </c:pt>
                <c:pt idx="145" formatCode="General">
                  <c:v>3337.5</c:v>
                </c:pt>
                <c:pt idx="146" formatCode="General">
                  <c:v>3350</c:v>
                </c:pt>
                <c:pt idx="147">
                  <c:v>3358.12</c:v>
                </c:pt>
                <c:pt idx="148">
                  <c:v>3362.5</c:v>
                </c:pt>
                <c:pt idx="149" formatCode="General">
                  <c:v>3375</c:v>
                </c:pt>
                <c:pt idx="150">
                  <c:v>3387.09</c:v>
                </c:pt>
                <c:pt idx="151" formatCode="General">
                  <c:v>3387.5</c:v>
                </c:pt>
                <c:pt idx="152">
                  <c:v>3400</c:v>
                </c:pt>
                <c:pt idx="153" formatCode="General">
                  <c:v>3405</c:v>
                </c:pt>
                <c:pt idx="154">
                  <c:v>3416.2</c:v>
                </c:pt>
                <c:pt idx="155">
                  <c:v>3444.81</c:v>
                </c:pt>
                <c:pt idx="156" formatCode="General">
                  <c:v>3459</c:v>
                </c:pt>
                <c:pt idx="157">
                  <c:v>3466.5</c:v>
                </c:pt>
                <c:pt idx="158">
                  <c:v>3474.08</c:v>
                </c:pt>
                <c:pt idx="159">
                  <c:v>3479</c:v>
                </c:pt>
                <c:pt idx="160">
                  <c:v>3491.5</c:v>
                </c:pt>
                <c:pt idx="161">
                  <c:v>3503.02</c:v>
                </c:pt>
                <c:pt idx="162" formatCode="General">
                  <c:v>3504</c:v>
                </c:pt>
                <c:pt idx="163" formatCode="General">
                  <c:v>3516.5</c:v>
                </c:pt>
                <c:pt idx="164">
                  <c:v>3529</c:v>
                </c:pt>
                <c:pt idx="165">
                  <c:v>3532.14</c:v>
                </c:pt>
                <c:pt idx="166" formatCode="General">
                  <c:v>3541.5</c:v>
                </c:pt>
                <c:pt idx="167" formatCode="General">
                  <c:v>3554</c:v>
                </c:pt>
                <c:pt idx="168">
                  <c:v>3559</c:v>
                </c:pt>
                <c:pt idx="169">
                  <c:v>3561.06</c:v>
                </c:pt>
                <c:pt idx="170" formatCode="General">
                  <c:v>3566.5</c:v>
                </c:pt>
                <c:pt idx="171" formatCode="General">
                  <c:v>3579</c:v>
                </c:pt>
                <c:pt idx="172">
                  <c:v>3590.09</c:v>
                </c:pt>
                <c:pt idx="173" formatCode="General">
                  <c:v>3591.5</c:v>
                </c:pt>
                <c:pt idx="174">
                  <c:v>3604</c:v>
                </c:pt>
                <c:pt idx="175" formatCode="General">
                  <c:v>3616.5</c:v>
                </c:pt>
                <c:pt idx="176">
                  <c:v>3619.2</c:v>
                </c:pt>
                <c:pt idx="177" formatCode="General">
                  <c:v>3629</c:v>
                </c:pt>
                <c:pt idx="178" formatCode="General">
                  <c:v>3641.5</c:v>
                </c:pt>
                <c:pt idx="179">
                  <c:v>3648.08</c:v>
                </c:pt>
                <c:pt idx="180">
                  <c:v>3654</c:v>
                </c:pt>
                <c:pt idx="181" formatCode="General">
                  <c:v>3659</c:v>
                </c:pt>
                <c:pt idx="182" formatCode="General">
                  <c:v>3666.5</c:v>
                </c:pt>
                <c:pt idx="183">
                  <c:v>3677.05</c:v>
                </c:pt>
                <c:pt idx="184">
                  <c:v>3679</c:v>
                </c:pt>
                <c:pt idx="185" formatCode="General">
                  <c:v>3691.5</c:v>
                </c:pt>
                <c:pt idx="186" formatCode="General">
                  <c:v>3704</c:v>
                </c:pt>
                <c:pt idx="187">
                  <c:v>3706.03</c:v>
                </c:pt>
                <c:pt idx="188" formatCode="General">
                  <c:v>3709</c:v>
                </c:pt>
                <c:pt idx="189">
                  <c:v>3728.95</c:v>
                </c:pt>
                <c:pt idx="190">
                  <c:v>3758.4</c:v>
                </c:pt>
                <c:pt idx="191">
                  <c:v>3787.61</c:v>
                </c:pt>
                <c:pt idx="192">
                  <c:v>3816.51</c:v>
                </c:pt>
                <c:pt idx="193">
                  <c:v>3845.51</c:v>
                </c:pt>
                <c:pt idx="194">
                  <c:v>3862.9</c:v>
                </c:pt>
                <c:pt idx="195" formatCode="General">
                  <c:v>3870.4</c:v>
                </c:pt>
                <c:pt idx="196">
                  <c:v>3874.44</c:v>
                </c:pt>
                <c:pt idx="197" formatCode="General">
                  <c:v>3882.9</c:v>
                </c:pt>
                <c:pt idx="198">
                  <c:v>3895.4</c:v>
                </c:pt>
                <c:pt idx="199">
                  <c:v>3903.64</c:v>
                </c:pt>
                <c:pt idx="200" formatCode="General">
                  <c:v>3907.9</c:v>
                </c:pt>
                <c:pt idx="201" formatCode="General">
                  <c:v>3912.9</c:v>
                </c:pt>
                <c:pt idx="202" formatCode="General">
                  <c:v>3920.4</c:v>
                </c:pt>
                <c:pt idx="203">
                  <c:v>3932.38</c:v>
                </c:pt>
                <c:pt idx="204">
                  <c:v>3932.9</c:v>
                </c:pt>
                <c:pt idx="205" formatCode="General">
                  <c:v>3945.4</c:v>
                </c:pt>
                <c:pt idx="206" formatCode="General">
                  <c:v>3957.9</c:v>
                </c:pt>
                <c:pt idx="207">
                  <c:v>3961.19</c:v>
                </c:pt>
                <c:pt idx="208">
                  <c:v>3962.9</c:v>
                </c:pt>
                <c:pt idx="209" formatCode="General">
                  <c:v>3970.4</c:v>
                </c:pt>
                <c:pt idx="210" formatCode="General">
                  <c:v>3982.9</c:v>
                </c:pt>
                <c:pt idx="211">
                  <c:v>3990.21</c:v>
                </c:pt>
                <c:pt idx="212" formatCode="General">
                  <c:v>3995.4</c:v>
                </c:pt>
                <c:pt idx="213">
                  <c:v>4007.9</c:v>
                </c:pt>
                <c:pt idx="214" formatCode="General">
                  <c:v>4012.9</c:v>
                </c:pt>
                <c:pt idx="215">
                  <c:v>4019.24</c:v>
                </c:pt>
                <c:pt idx="216" formatCode="General">
                  <c:v>4020.4</c:v>
                </c:pt>
                <c:pt idx="217">
                  <c:v>4032.9</c:v>
                </c:pt>
                <c:pt idx="218" formatCode="General">
                  <c:v>4045.4</c:v>
                </c:pt>
                <c:pt idx="219">
                  <c:v>4048.23</c:v>
                </c:pt>
                <c:pt idx="220" formatCode="General">
                  <c:v>4057.9</c:v>
                </c:pt>
                <c:pt idx="221" formatCode="General">
                  <c:v>4062.9</c:v>
                </c:pt>
                <c:pt idx="222">
                  <c:v>4070.4</c:v>
                </c:pt>
                <c:pt idx="223">
                  <c:v>4077.24</c:v>
                </c:pt>
                <c:pt idx="224" formatCode="General">
                  <c:v>4082.9</c:v>
                </c:pt>
                <c:pt idx="225" formatCode="General">
                  <c:v>4095.4</c:v>
                </c:pt>
                <c:pt idx="226">
                  <c:v>4106.13</c:v>
                </c:pt>
                <c:pt idx="227" formatCode="General">
                  <c:v>4107.8999999999996</c:v>
                </c:pt>
                <c:pt idx="228">
                  <c:v>4112.8999999999996</c:v>
                </c:pt>
                <c:pt idx="229">
                  <c:v>4135.3</c:v>
                </c:pt>
                <c:pt idx="230">
                  <c:v>4164.16</c:v>
                </c:pt>
                <c:pt idx="231">
                  <c:v>4193.21</c:v>
                </c:pt>
                <c:pt idx="232" formatCode="General">
                  <c:v>4208.3</c:v>
                </c:pt>
                <c:pt idx="233" formatCode="General">
                  <c:v>4215.8</c:v>
                </c:pt>
                <c:pt idx="234">
                  <c:v>4221.84</c:v>
                </c:pt>
                <c:pt idx="235">
                  <c:v>4228.3</c:v>
                </c:pt>
                <c:pt idx="236" formatCode="General">
                  <c:v>4240.8</c:v>
                </c:pt>
                <c:pt idx="237">
                  <c:v>4250.54</c:v>
                </c:pt>
                <c:pt idx="238" formatCode="General">
                  <c:v>4253.3</c:v>
                </c:pt>
                <c:pt idx="239">
                  <c:v>4265.8</c:v>
                </c:pt>
                <c:pt idx="240" formatCode="General">
                  <c:v>4278.3</c:v>
                </c:pt>
                <c:pt idx="241">
                  <c:v>4279.54</c:v>
                </c:pt>
                <c:pt idx="242" formatCode="General">
                  <c:v>4290.8</c:v>
                </c:pt>
                <c:pt idx="243" formatCode="General">
                  <c:v>4303.3</c:v>
                </c:pt>
                <c:pt idx="244">
                  <c:v>4308.3</c:v>
                </c:pt>
                <c:pt idx="245">
                  <c:v>4308.3900000000003</c:v>
                </c:pt>
                <c:pt idx="246" formatCode="General">
                  <c:v>4315.8</c:v>
                </c:pt>
                <c:pt idx="247" formatCode="General">
                  <c:v>4328.3</c:v>
                </c:pt>
                <c:pt idx="248">
                  <c:v>4337.3</c:v>
                </c:pt>
                <c:pt idx="249" formatCode="General">
                  <c:v>4340.8</c:v>
                </c:pt>
                <c:pt idx="250">
                  <c:v>4353.3</c:v>
                </c:pt>
                <c:pt idx="251" formatCode="General">
                  <c:v>4365.8</c:v>
                </c:pt>
                <c:pt idx="252">
                  <c:v>4366.2</c:v>
                </c:pt>
                <c:pt idx="253" formatCode="General">
                  <c:v>4378.3</c:v>
                </c:pt>
                <c:pt idx="254">
                  <c:v>4390.8</c:v>
                </c:pt>
                <c:pt idx="255">
                  <c:v>4395.0600000000004</c:v>
                </c:pt>
                <c:pt idx="256" formatCode="General">
                  <c:v>4403.3</c:v>
                </c:pt>
                <c:pt idx="257" formatCode="General">
                  <c:v>4408.3</c:v>
                </c:pt>
                <c:pt idx="258">
                  <c:v>4415.8</c:v>
                </c:pt>
                <c:pt idx="259">
                  <c:v>4422.55</c:v>
                </c:pt>
                <c:pt idx="260">
                  <c:v>4428.3</c:v>
                </c:pt>
                <c:pt idx="261">
                  <c:v>4440.8</c:v>
                </c:pt>
                <c:pt idx="262">
                  <c:v>4450.58</c:v>
                </c:pt>
                <c:pt idx="263">
                  <c:v>4453.3</c:v>
                </c:pt>
                <c:pt idx="264" formatCode="General">
                  <c:v>4465.8</c:v>
                </c:pt>
                <c:pt idx="265">
                  <c:v>4478.3</c:v>
                </c:pt>
                <c:pt idx="266">
                  <c:v>4479.54</c:v>
                </c:pt>
                <c:pt idx="267" formatCode="General">
                  <c:v>4490.8</c:v>
                </c:pt>
                <c:pt idx="268" formatCode="General">
                  <c:v>4503.3</c:v>
                </c:pt>
                <c:pt idx="269">
                  <c:v>4508.28</c:v>
                </c:pt>
                <c:pt idx="270">
                  <c:v>4508.3</c:v>
                </c:pt>
                <c:pt idx="271" formatCode="General">
                  <c:v>4515.8</c:v>
                </c:pt>
                <c:pt idx="272" formatCode="General">
                  <c:v>4528.3</c:v>
                </c:pt>
                <c:pt idx="273">
                  <c:v>4537.1400000000003</c:v>
                </c:pt>
                <c:pt idx="274" formatCode="General">
                  <c:v>4540.8</c:v>
                </c:pt>
                <c:pt idx="275">
                  <c:v>4553.3</c:v>
                </c:pt>
                <c:pt idx="276" formatCode="General">
                  <c:v>4565.8</c:v>
                </c:pt>
                <c:pt idx="277">
                  <c:v>4565.9399999999996</c:v>
                </c:pt>
                <c:pt idx="278" formatCode="General">
                  <c:v>4578.3</c:v>
                </c:pt>
                <c:pt idx="279">
                  <c:v>4590.8</c:v>
                </c:pt>
                <c:pt idx="280">
                  <c:v>4595.1499999999996</c:v>
                </c:pt>
                <c:pt idx="281" formatCode="General">
                  <c:v>4603.3</c:v>
                </c:pt>
                <c:pt idx="282" formatCode="General">
                  <c:v>4608.3</c:v>
                </c:pt>
                <c:pt idx="283">
                  <c:v>4624.01</c:v>
                </c:pt>
                <c:pt idx="284" formatCode="General">
                  <c:v>4624.3</c:v>
                </c:pt>
                <c:pt idx="285">
                  <c:v>4631.8</c:v>
                </c:pt>
                <c:pt idx="286" formatCode="General">
                  <c:v>4644.3</c:v>
                </c:pt>
                <c:pt idx="287">
                  <c:v>4652.8999999999996</c:v>
                </c:pt>
                <c:pt idx="288" formatCode="General">
                  <c:v>4656.8</c:v>
                </c:pt>
                <c:pt idx="289" formatCode="General">
                  <c:v>4669.3</c:v>
                </c:pt>
                <c:pt idx="290">
                  <c:v>4681.8</c:v>
                </c:pt>
                <c:pt idx="291">
                  <c:v>4681.88</c:v>
                </c:pt>
                <c:pt idx="292" formatCode="General">
                  <c:v>4694.3</c:v>
                </c:pt>
                <c:pt idx="293" formatCode="General">
                  <c:v>4706.8</c:v>
                </c:pt>
                <c:pt idx="294">
                  <c:v>4710.72</c:v>
                </c:pt>
                <c:pt idx="295">
                  <c:v>4719.3</c:v>
                </c:pt>
                <c:pt idx="296" formatCode="General">
                  <c:v>4724.3</c:v>
                </c:pt>
                <c:pt idx="297">
                  <c:v>4739.87</c:v>
                </c:pt>
                <c:pt idx="298">
                  <c:v>4768.9799999999996</c:v>
                </c:pt>
                <c:pt idx="299">
                  <c:v>4797.76</c:v>
                </c:pt>
                <c:pt idx="300">
                  <c:v>4826.84</c:v>
                </c:pt>
                <c:pt idx="301" formatCode="General">
                  <c:v>4854.8999999999996</c:v>
                </c:pt>
                <c:pt idx="302">
                  <c:v>4855.8500000000004</c:v>
                </c:pt>
                <c:pt idx="303" formatCode="General">
                  <c:v>4862.3999999999996</c:v>
                </c:pt>
                <c:pt idx="304">
                  <c:v>4874.8999999999996</c:v>
                </c:pt>
                <c:pt idx="305">
                  <c:v>4885.0200000000004</c:v>
                </c:pt>
                <c:pt idx="306" formatCode="General">
                  <c:v>4887.3999999999996</c:v>
                </c:pt>
                <c:pt idx="307" formatCode="General">
                  <c:v>4899.8999999999996</c:v>
                </c:pt>
                <c:pt idx="308">
                  <c:v>4912.3999999999996</c:v>
                </c:pt>
                <c:pt idx="309">
                  <c:v>4913.55</c:v>
                </c:pt>
                <c:pt idx="310" formatCode="General">
                  <c:v>4924.8999999999996</c:v>
                </c:pt>
                <c:pt idx="311" formatCode="General">
                  <c:v>4937.3999999999996</c:v>
                </c:pt>
                <c:pt idx="312">
                  <c:v>4942.6400000000003</c:v>
                </c:pt>
                <c:pt idx="313" formatCode="General">
                  <c:v>4949.8999999999996</c:v>
                </c:pt>
                <c:pt idx="314">
                  <c:v>4954.8999999999996</c:v>
                </c:pt>
                <c:pt idx="315">
                  <c:v>4962.3999999999996</c:v>
                </c:pt>
                <c:pt idx="316">
                  <c:v>4971.1099999999997</c:v>
                </c:pt>
                <c:pt idx="317">
                  <c:v>4974.8999999999996</c:v>
                </c:pt>
                <c:pt idx="318">
                  <c:v>4987.3999999999996</c:v>
                </c:pt>
                <c:pt idx="319">
                  <c:v>4999.8999999999996</c:v>
                </c:pt>
                <c:pt idx="320">
                  <c:v>5000.5200000000004</c:v>
                </c:pt>
                <c:pt idx="321" formatCode="General">
                  <c:v>5012.3999999999996</c:v>
                </c:pt>
                <c:pt idx="322" formatCode="General">
                  <c:v>5024.8999999999996</c:v>
                </c:pt>
                <c:pt idx="323">
                  <c:v>5029.5200000000004</c:v>
                </c:pt>
                <c:pt idx="324">
                  <c:v>5037.3999999999996</c:v>
                </c:pt>
                <c:pt idx="325" formatCode="General">
                  <c:v>5049.8999999999996</c:v>
                </c:pt>
                <c:pt idx="326" formatCode="General">
                  <c:v>5054.8999999999996</c:v>
                </c:pt>
                <c:pt idx="327">
                  <c:v>5057.6499999999996</c:v>
                </c:pt>
                <c:pt idx="328" formatCode="General">
                  <c:v>5062.3999999999996</c:v>
                </c:pt>
                <c:pt idx="329">
                  <c:v>5074.8999999999996</c:v>
                </c:pt>
                <c:pt idx="330">
                  <c:v>5085.29</c:v>
                </c:pt>
                <c:pt idx="331" formatCode="General">
                  <c:v>5087.3999999999996</c:v>
                </c:pt>
                <c:pt idx="332" formatCode="General">
                  <c:v>5099.8999999999996</c:v>
                </c:pt>
                <c:pt idx="333" formatCode="General">
                  <c:v>5104.8999999999996</c:v>
                </c:pt>
                <c:pt idx="334">
                  <c:v>5114.55</c:v>
                </c:pt>
                <c:pt idx="335">
                  <c:v>5143.82</c:v>
                </c:pt>
                <c:pt idx="336">
                  <c:v>5172.68</c:v>
                </c:pt>
                <c:pt idx="337">
                  <c:v>5201.7</c:v>
                </c:pt>
                <c:pt idx="338">
                  <c:v>5230.72</c:v>
                </c:pt>
                <c:pt idx="339">
                  <c:v>5241.3</c:v>
                </c:pt>
                <c:pt idx="340" formatCode="General">
                  <c:v>5248.8</c:v>
                </c:pt>
                <c:pt idx="341">
                  <c:v>5259.84</c:v>
                </c:pt>
                <c:pt idx="342" formatCode="General">
                  <c:v>5261.3</c:v>
                </c:pt>
                <c:pt idx="343">
                  <c:v>5273.8</c:v>
                </c:pt>
                <c:pt idx="344" formatCode="General">
                  <c:v>5286.3</c:v>
                </c:pt>
                <c:pt idx="345">
                  <c:v>5289.38</c:v>
                </c:pt>
                <c:pt idx="346">
                  <c:v>5291.3</c:v>
                </c:pt>
                <c:pt idx="347">
                  <c:v>5311.3</c:v>
                </c:pt>
                <c:pt idx="348" formatCode="General">
                  <c:v>5318.8</c:v>
                </c:pt>
                <c:pt idx="349">
                  <c:v>5318.84</c:v>
                </c:pt>
                <c:pt idx="350">
                  <c:v>5331.3</c:v>
                </c:pt>
                <c:pt idx="351" formatCode="General">
                  <c:v>5343.8</c:v>
                </c:pt>
                <c:pt idx="352">
                  <c:v>5348.37</c:v>
                </c:pt>
                <c:pt idx="353">
                  <c:v>5356.3</c:v>
                </c:pt>
                <c:pt idx="354">
                  <c:v>5377.69</c:v>
                </c:pt>
                <c:pt idx="355">
                  <c:v>5406.98</c:v>
                </c:pt>
                <c:pt idx="356">
                  <c:v>5428</c:v>
                </c:pt>
                <c:pt idx="357">
                  <c:v>5436.05</c:v>
                </c:pt>
                <c:pt idx="358">
                  <c:v>5438.8</c:v>
                </c:pt>
                <c:pt idx="359">
                  <c:v>5465.05</c:v>
                </c:pt>
                <c:pt idx="360">
                  <c:v>5493.82</c:v>
                </c:pt>
                <c:pt idx="361">
                  <c:v>5501.88</c:v>
                </c:pt>
              </c:numCache>
            </c:numRef>
          </c:xVal>
          <c:yVal>
            <c:numRef>
              <c:f>'LCa-3159 '!$Y$2:$Y$365</c:f>
              <c:numCache>
                <c:formatCode>0.00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1</c:v>
                </c:pt>
                <c:pt idx="347">
                  <c:v>1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90-5D4C-9E77-DED23C1C1DA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'LCa-3159 '!$A$2:$A$363</c:f>
              <c:numCache>
                <c:formatCode>0.00</c:formatCode>
                <c:ptCount val="362"/>
                <c:pt idx="0">
                  <c:v>0</c:v>
                </c:pt>
                <c:pt idx="1">
                  <c:v>26</c:v>
                </c:pt>
                <c:pt idx="2">
                  <c:v>53.67</c:v>
                </c:pt>
                <c:pt idx="3">
                  <c:v>81.48</c:v>
                </c:pt>
                <c:pt idx="4">
                  <c:v>106.59</c:v>
                </c:pt>
                <c:pt idx="5">
                  <c:v>134.29</c:v>
                </c:pt>
                <c:pt idx="6">
                  <c:v>164.3</c:v>
                </c:pt>
                <c:pt idx="7">
                  <c:v>193.46</c:v>
                </c:pt>
                <c:pt idx="8">
                  <c:v>222.05</c:v>
                </c:pt>
                <c:pt idx="9">
                  <c:v>251.88</c:v>
                </c:pt>
                <c:pt idx="10">
                  <c:v>281.25</c:v>
                </c:pt>
                <c:pt idx="11">
                  <c:v>309.92</c:v>
                </c:pt>
                <c:pt idx="12">
                  <c:v>339.48</c:v>
                </c:pt>
                <c:pt idx="13">
                  <c:v>368.47</c:v>
                </c:pt>
                <c:pt idx="14">
                  <c:v>398.05</c:v>
                </c:pt>
                <c:pt idx="15">
                  <c:v>427.65</c:v>
                </c:pt>
                <c:pt idx="16">
                  <c:v>457.21</c:v>
                </c:pt>
                <c:pt idx="17">
                  <c:v>486.77</c:v>
                </c:pt>
                <c:pt idx="18">
                  <c:v>516.37</c:v>
                </c:pt>
                <c:pt idx="19">
                  <c:v>545.29999999999995</c:v>
                </c:pt>
                <c:pt idx="20">
                  <c:v>574.98</c:v>
                </c:pt>
                <c:pt idx="21">
                  <c:v>604.65</c:v>
                </c:pt>
                <c:pt idx="22">
                  <c:v>634</c:v>
                </c:pt>
                <c:pt idx="23">
                  <c:v>663.09</c:v>
                </c:pt>
                <c:pt idx="24">
                  <c:v>692.15</c:v>
                </c:pt>
                <c:pt idx="25">
                  <c:v>720.93</c:v>
                </c:pt>
                <c:pt idx="26">
                  <c:v>742.79</c:v>
                </c:pt>
                <c:pt idx="27">
                  <c:v>773.92</c:v>
                </c:pt>
                <c:pt idx="28">
                  <c:v>802.87</c:v>
                </c:pt>
                <c:pt idx="29">
                  <c:v>832.04</c:v>
                </c:pt>
                <c:pt idx="30">
                  <c:v>861.02</c:v>
                </c:pt>
                <c:pt idx="31">
                  <c:v>889.93</c:v>
                </c:pt>
                <c:pt idx="32">
                  <c:v>918.8</c:v>
                </c:pt>
                <c:pt idx="33">
                  <c:v>947.97</c:v>
                </c:pt>
                <c:pt idx="34">
                  <c:v>977.14</c:v>
                </c:pt>
                <c:pt idx="35">
                  <c:v>1006.39</c:v>
                </c:pt>
                <c:pt idx="36">
                  <c:v>1035.49</c:v>
                </c:pt>
                <c:pt idx="37">
                  <c:v>1064.6300000000001</c:v>
                </c:pt>
                <c:pt idx="38">
                  <c:v>1093.1300000000001</c:v>
                </c:pt>
                <c:pt idx="39">
                  <c:v>1122.24</c:v>
                </c:pt>
                <c:pt idx="40">
                  <c:v>1151.47</c:v>
                </c:pt>
                <c:pt idx="41">
                  <c:v>1179.9100000000001</c:v>
                </c:pt>
                <c:pt idx="42">
                  <c:v>1208.47</c:v>
                </c:pt>
                <c:pt idx="43">
                  <c:v>1237.04</c:v>
                </c:pt>
                <c:pt idx="44">
                  <c:v>1265.5899999999999</c:v>
                </c:pt>
                <c:pt idx="45">
                  <c:v>1294.4100000000001</c:v>
                </c:pt>
                <c:pt idx="46">
                  <c:v>1323.3</c:v>
                </c:pt>
                <c:pt idx="47">
                  <c:v>1352.3</c:v>
                </c:pt>
                <c:pt idx="48">
                  <c:v>1383.17</c:v>
                </c:pt>
                <c:pt idx="49">
                  <c:v>1411.42</c:v>
                </c:pt>
                <c:pt idx="50">
                  <c:v>1440.24</c:v>
                </c:pt>
                <c:pt idx="51">
                  <c:v>1469.04</c:v>
                </c:pt>
                <c:pt idx="52">
                  <c:v>1498.03</c:v>
                </c:pt>
                <c:pt idx="53">
                  <c:v>1526.89</c:v>
                </c:pt>
                <c:pt idx="54">
                  <c:v>1555.84</c:v>
                </c:pt>
                <c:pt idx="55">
                  <c:v>1584.66</c:v>
                </c:pt>
                <c:pt idx="56">
                  <c:v>1613.51</c:v>
                </c:pt>
                <c:pt idx="57">
                  <c:v>1642.6</c:v>
                </c:pt>
                <c:pt idx="58">
                  <c:v>1671.77</c:v>
                </c:pt>
                <c:pt idx="59">
                  <c:v>1701.09</c:v>
                </c:pt>
                <c:pt idx="60">
                  <c:v>1729.79</c:v>
                </c:pt>
                <c:pt idx="61">
                  <c:v>1758.54</c:v>
                </c:pt>
                <c:pt idx="62">
                  <c:v>1787.03</c:v>
                </c:pt>
                <c:pt idx="63">
                  <c:v>1815.88</c:v>
                </c:pt>
                <c:pt idx="64">
                  <c:v>1835.01</c:v>
                </c:pt>
                <c:pt idx="65">
                  <c:v>1868.38</c:v>
                </c:pt>
                <c:pt idx="66">
                  <c:v>1897.7</c:v>
                </c:pt>
                <c:pt idx="67">
                  <c:v>1926.63</c:v>
                </c:pt>
                <c:pt idx="68">
                  <c:v>1955.63</c:v>
                </c:pt>
                <c:pt idx="69">
                  <c:v>1984.47</c:v>
                </c:pt>
                <c:pt idx="70">
                  <c:v>2013.42</c:v>
                </c:pt>
                <c:pt idx="71">
                  <c:v>2042.48</c:v>
                </c:pt>
                <c:pt idx="72">
                  <c:v>2071.31</c:v>
                </c:pt>
                <c:pt idx="73">
                  <c:v>2100.0300000000002</c:v>
                </c:pt>
                <c:pt idx="74">
                  <c:v>2128.85</c:v>
                </c:pt>
                <c:pt idx="75">
                  <c:v>2157.63</c:v>
                </c:pt>
                <c:pt idx="76">
                  <c:v>2181</c:v>
                </c:pt>
                <c:pt idx="77">
                  <c:v>2186.54</c:v>
                </c:pt>
                <c:pt idx="78">
                  <c:v>2215.5</c:v>
                </c:pt>
                <c:pt idx="79">
                  <c:v>2244.48</c:v>
                </c:pt>
                <c:pt idx="80">
                  <c:v>2273.52</c:v>
                </c:pt>
                <c:pt idx="81">
                  <c:v>2302.4299999999998</c:v>
                </c:pt>
                <c:pt idx="82">
                  <c:v>2331.5700000000002</c:v>
                </c:pt>
                <c:pt idx="83">
                  <c:v>2360.35</c:v>
                </c:pt>
                <c:pt idx="84">
                  <c:v>2389.44</c:v>
                </c:pt>
                <c:pt idx="85">
                  <c:v>2418.44</c:v>
                </c:pt>
                <c:pt idx="86">
                  <c:v>2447.41</c:v>
                </c:pt>
                <c:pt idx="87">
                  <c:v>2474</c:v>
                </c:pt>
                <c:pt idx="88">
                  <c:v>2476.48</c:v>
                </c:pt>
                <c:pt idx="89">
                  <c:v>2505.44</c:v>
                </c:pt>
                <c:pt idx="90">
                  <c:v>2534.2800000000002</c:v>
                </c:pt>
                <c:pt idx="91">
                  <c:v>2563.2199999999998</c:v>
                </c:pt>
                <c:pt idx="92">
                  <c:v>2592.0500000000002</c:v>
                </c:pt>
                <c:pt idx="93">
                  <c:v>2620.88</c:v>
                </c:pt>
                <c:pt idx="94">
                  <c:v>2649.93</c:v>
                </c:pt>
                <c:pt idx="95">
                  <c:v>2678.54</c:v>
                </c:pt>
                <c:pt idx="96">
                  <c:v>2707.43</c:v>
                </c:pt>
                <c:pt idx="97">
                  <c:v>2736.05</c:v>
                </c:pt>
                <c:pt idx="98">
                  <c:v>2764.93</c:v>
                </c:pt>
                <c:pt idx="99">
                  <c:v>2793.86</c:v>
                </c:pt>
                <c:pt idx="100">
                  <c:v>2822.8</c:v>
                </c:pt>
                <c:pt idx="101">
                  <c:v>2851.69</c:v>
                </c:pt>
                <c:pt idx="102">
                  <c:v>2880.74</c:v>
                </c:pt>
                <c:pt idx="103">
                  <c:v>2885.2</c:v>
                </c:pt>
                <c:pt idx="104">
                  <c:v>2897.7</c:v>
                </c:pt>
                <c:pt idx="105">
                  <c:v>2909.88</c:v>
                </c:pt>
                <c:pt idx="106" formatCode="General">
                  <c:v>2910.2</c:v>
                </c:pt>
                <c:pt idx="107" formatCode="General">
                  <c:v>2922.7</c:v>
                </c:pt>
                <c:pt idx="108">
                  <c:v>2927.2</c:v>
                </c:pt>
                <c:pt idx="109" formatCode="General">
                  <c:v>2935.2</c:v>
                </c:pt>
                <c:pt idx="110">
                  <c:v>2939.01</c:v>
                </c:pt>
                <c:pt idx="111" formatCode="General">
                  <c:v>2947.7</c:v>
                </c:pt>
                <c:pt idx="112" formatCode="General">
                  <c:v>2960.2</c:v>
                </c:pt>
                <c:pt idx="113">
                  <c:v>2968.16</c:v>
                </c:pt>
                <c:pt idx="114">
                  <c:v>2972.7</c:v>
                </c:pt>
                <c:pt idx="115" formatCode="General">
                  <c:v>2985.2</c:v>
                </c:pt>
                <c:pt idx="116">
                  <c:v>2997.28</c:v>
                </c:pt>
                <c:pt idx="117" formatCode="General">
                  <c:v>2997.7</c:v>
                </c:pt>
                <c:pt idx="118" formatCode="General">
                  <c:v>3010.2</c:v>
                </c:pt>
                <c:pt idx="119">
                  <c:v>3022.7</c:v>
                </c:pt>
                <c:pt idx="120">
                  <c:v>3026.48</c:v>
                </c:pt>
                <c:pt idx="121" formatCode="General">
                  <c:v>3027.7</c:v>
                </c:pt>
                <c:pt idx="122">
                  <c:v>3055.7</c:v>
                </c:pt>
                <c:pt idx="123">
                  <c:v>3084.97</c:v>
                </c:pt>
                <c:pt idx="124">
                  <c:v>3107.03</c:v>
                </c:pt>
                <c:pt idx="125">
                  <c:v>3126.76</c:v>
                </c:pt>
                <c:pt idx="126">
                  <c:v>3154.93</c:v>
                </c:pt>
                <c:pt idx="127">
                  <c:v>3184.21</c:v>
                </c:pt>
                <c:pt idx="128" formatCode="General">
                  <c:v>3205</c:v>
                </c:pt>
                <c:pt idx="129" formatCode="General">
                  <c:v>3212.5</c:v>
                </c:pt>
                <c:pt idx="130">
                  <c:v>3213.31</c:v>
                </c:pt>
                <c:pt idx="131">
                  <c:v>3225</c:v>
                </c:pt>
                <c:pt idx="132" formatCode="General">
                  <c:v>3237.5</c:v>
                </c:pt>
                <c:pt idx="133">
                  <c:v>3242.25</c:v>
                </c:pt>
                <c:pt idx="134" formatCode="General">
                  <c:v>3250</c:v>
                </c:pt>
                <c:pt idx="135" formatCode="General">
                  <c:v>3262.5</c:v>
                </c:pt>
                <c:pt idx="136">
                  <c:v>3271.08</c:v>
                </c:pt>
                <c:pt idx="137">
                  <c:v>3275</c:v>
                </c:pt>
                <c:pt idx="138" formatCode="General">
                  <c:v>3287.5</c:v>
                </c:pt>
                <c:pt idx="139" formatCode="General">
                  <c:v>3300</c:v>
                </c:pt>
                <c:pt idx="140">
                  <c:v>3300.2</c:v>
                </c:pt>
                <c:pt idx="141" formatCode="General">
                  <c:v>3305</c:v>
                </c:pt>
                <c:pt idx="142">
                  <c:v>3312.5</c:v>
                </c:pt>
                <c:pt idx="143" formatCode="General">
                  <c:v>3325</c:v>
                </c:pt>
                <c:pt idx="144">
                  <c:v>3329.22</c:v>
                </c:pt>
                <c:pt idx="145" formatCode="General">
                  <c:v>3337.5</c:v>
                </c:pt>
                <c:pt idx="146" formatCode="General">
                  <c:v>3350</c:v>
                </c:pt>
                <c:pt idx="147">
                  <c:v>3358.12</c:v>
                </c:pt>
                <c:pt idx="148">
                  <c:v>3362.5</c:v>
                </c:pt>
                <c:pt idx="149" formatCode="General">
                  <c:v>3375</c:v>
                </c:pt>
                <c:pt idx="150">
                  <c:v>3387.09</c:v>
                </c:pt>
                <c:pt idx="151" formatCode="General">
                  <c:v>3387.5</c:v>
                </c:pt>
                <c:pt idx="152">
                  <c:v>3400</c:v>
                </c:pt>
                <c:pt idx="153" formatCode="General">
                  <c:v>3405</c:v>
                </c:pt>
                <c:pt idx="154">
                  <c:v>3416.2</c:v>
                </c:pt>
                <c:pt idx="155">
                  <c:v>3444.81</c:v>
                </c:pt>
                <c:pt idx="156" formatCode="General">
                  <c:v>3459</c:v>
                </c:pt>
                <c:pt idx="157">
                  <c:v>3466.5</c:v>
                </c:pt>
                <c:pt idx="158">
                  <c:v>3474.08</c:v>
                </c:pt>
                <c:pt idx="159">
                  <c:v>3479</c:v>
                </c:pt>
                <c:pt idx="160">
                  <c:v>3491.5</c:v>
                </c:pt>
                <c:pt idx="161">
                  <c:v>3503.02</c:v>
                </c:pt>
                <c:pt idx="162" formatCode="General">
                  <c:v>3504</c:v>
                </c:pt>
                <c:pt idx="163" formatCode="General">
                  <c:v>3516.5</c:v>
                </c:pt>
                <c:pt idx="164">
                  <c:v>3529</c:v>
                </c:pt>
                <c:pt idx="165">
                  <c:v>3532.14</c:v>
                </c:pt>
                <c:pt idx="166" formatCode="General">
                  <c:v>3541.5</c:v>
                </c:pt>
                <c:pt idx="167" formatCode="General">
                  <c:v>3554</c:v>
                </c:pt>
                <c:pt idx="168">
                  <c:v>3559</c:v>
                </c:pt>
                <c:pt idx="169">
                  <c:v>3561.06</c:v>
                </c:pt>
                <c:pt idx="170" formatCode="General">
                  <c:v>3566.5</c:v>
                </c:pt>
                <c:pt idx="171" formatCode="General">
                  <c:v>3579</c:v>
                </c:pt>
                <c:pt idx="172">
                  <c:v>3590.09</c:v>
                </c:pt>
                <c:pt idx="173" formatCode="General">
                  <c:v>3591.5</c:v>
                </c:pt>
                <c:pt idx="174">
                  <c:v>3604</c:v>
                </c:pt>
                <c:pt idx="175" formatCode="General">
                  <c:v>3616.5</c:v>
                </c:pt>
                <c:pt idx="176">
                  <c:v>3619.2</c:v>
                </c:pt>
                <c:pt idx="177" formatCode="General">
                  <c:v>3629</c:v>
                </c:pt>
                <c:pt idx="178" formatCode="General">
                  <c:v>3641.5</c:v>
                </c:pt>
                <c:pt idx="179">
                  <c:v>3648.08</c:v>
                </c:pt>
                <c:pt idx="180">
                  <c:v>3654</c:v>
                </c:pt>
                <c:pt idx="181" formatCode="General">
                  <c:v>3659</c:v>
                </c:pt>
                <c:pt idx="182" formatCode="General">
                  <c:v>3666.5</c:v>
                </c:pt>
                <c:pt idx="183">
                  <c:v>3677.05</c:v>
                </c:pt>
                <c:pt idx="184">
                  <c:v>3679</c:v>
                </c:pt>
                <c:pt idx="185" formatCode="General">
                  <c:v>3691.5</c:v>
                </c:pt>
                <c:pt idx="186" formatCode="General">
                  <c:v>3704</c:v>
                </c:pt>
                <c:pt idx="187">
                  <c:v>3706.03</c:v>
                </c:pt>
                <c:pt idx="188" formatCode="General">
                  <c:v>3709</c:v>
                </c:pt>
                <c:pt idx="189">
                  <c:v>3728.95</c:v>
                </c:pt>
                <c:pt idx="190">
                  <c:v>3758.4</c:v>
                </c:pt>
                <c:pt idx="191">
                  <c:v>3787.61</c:v>
                </c:pt>
                <c:pt idx="192">
                  <c:v>3816.51</c:v>
                </c:pt>
                <c:pt idx="193">
                  <c:v>3845.51</c:v>
                </c:pt>
                <c:pt idx="194">
                  <c:v>3862.9</c:v>
                </c:pt>
                <c:pt idx="195" formatCode="General">
                  <c:v>3870.4</c:v>
                </c:pt>
                <c:pt idx="196">
                  <c:v>3874.44</c:v>
                </c:pt>
                <c:pt idx="197" formatCode="General">
                  <c:v>3882.9</c:v>
                </c:pt>
                <c:pt idx="198">
                  <c:v>3895.4</c:v>
                </c:pt>
                <c:pt idx="199">
                  <c:v>3903.64</c:v>
                </c:pt>
                <c:pt idx="200" formatCode="General">
                  <c:v>3907.9</c:v>
                </c:pt>
                <c:pt idx="201" formatCode="General">
                  <c:v>3912.9</c:v>
                </c:pt>
                <c:pt idx="202" formatCode="General">
                  <c:v>3920.4</c:v>
                </c:pt>
                <c:pt idx="203">
                  <c:v>3932.38</c:v>
                </c:pt>
                <c:pt idx="204">
                  <c:v>3932.9</c:v>
                </c:pt>
                <c:pt idx="205" formatCode="General">
                  <c:v>3945.4</c:v>
                </c:pt>
                <c:pt idx="206" formatCode="General">
                  <c:v>3957.9</c:v>
                </c:pt>
                <c:pt idx="207">
                  <c:v>3961.19</c:v>
                </c:pt>
                <c:pt idx="208">
                  <c:v>3962.9</c:v>
                </c:pt>
                <c:pt idx="209" formatCode="General">
                  <c:v>3970.4</c:v>
                </c:pt>
                <c:pt idx="210" formatCode="General">
                  <c:v>3982.9</c:v>
                </c:pt>
                <c:pt idx="211">
                  <c:v>3990.21</c:v>
                </c:pt>
                <c:pt idx="212" formatCode="General">
                  <c:v>3995.4</c:v>
                </c:pt>
                <c:pt idx="213">
                  <c:v>4007.9</c:v>
                </c:pt>
                <c:pt idx="214" formatCode="General">
                  <c:v>4012.9</c:v>
                </c:pt>
                <c:pt idx="215">
                  <c:v>4019.24</c:v>
                </c:pt>
                <c:pt idx="216" formatCode="General">
                  <c:v>4020.4</c:v>
                </c:pt>
                <c:pt idx="217">
                  <c:v>4032.9</c:v>
                </c:pt>
                <c:pt idx="218" formatCode="General">
                  <c:v>4045.4</c:v>
                </c:pt>
                <c:pt idx="219">
                  <c:v>4048.23</c:v>
                </c:pt>
                <c:pt idx="220" formatCode="General">
                  <c:v>4057.9</c:v>
                </c:pt>
                <c:pt idx="221" formatCode="General">
                  <c:v>4062.9</c:v>
                </c:pt>
                <c:pt idx="222">
                  <c:v>4070.4</c:v>
                </c:pt>
                <c:pt idx="223">
                  <c:v>4077.24</c:v>
                </c:pt>
                <c:pt idx="224" formatCode="General">
                  <c:v>4082.9</c:v>
                </c:pt>
                <c:pt idx="225" formatCode="General">
                  <c:v>4095.4</c:v>
                </c:pt>
                <c:pt idx="226">
                  <c:v>4106.13</c:v>
                </c:pt>
                <c:pt idx="227" formatCode="General">
                  <c:v>4107.8999999999996</c:v>
                </c:pt>
                <c:pt idx="228">
                  <c:v>4112.8999999999996</c:v>
                </c:pt>
                <c:pt idx="229">
                  <c:v>4135.3</c:v>
                </c:pt>
                <c:pt idx="230">
                  <c:v>4164.16</c:v>
                </c:pt>
                <c:pt idx="231">
                  <c:v>4193.21</c:v>
                </c:pt>
                <c:pt idx="232" formatCode="General">
                  <c:v>4208.3</c:v>
                </c:pt>
                <c:pt idx="233" formatCode="General">
                  <c:v>4215.8</c:v>
                </c:pt>
                <c:pt idx="234">
                  <c:v>4221.84</c:v>
                </c:pt>
                <c:pt idx="235">
                  <c:v>4228.3</c:v>
                </c:pt>
                <c:pt idx="236" formatCode="General">
                  <c:v>4240.8</c:v>
                </c:pt>
                <c:pt idx="237">
                  <c:v>4250.54</c:v>
                </c:pt>
                <c:pt idx="238" formatCode="General">
                  <c:v>4253.3</c:v>
                </c:pt>
                <c:pt idx="239">
                  <c:v>4265.8</c:v>
                </c:pt>
                <c:pt idx="240" formatCode="General">
                  <c:v>4278.3</c:v>
                </c:pt>
                <c:pt idx="241">
                  <c:v>4279.54</c:v>
                </c:pt>
                <c:pt idx="242" formatCode="General">
                  <c:v>4290.8</c:v>
                </c:pt>
                <c:pt idx="243" formatCode="General">
                  <c:v>4303.3</c:v>
                </c:pt>
                <c:pt idx="244">
                  <c:v>4308.3</c:v>
                </c:pt>
                <c:pt idx="245">
                  <c:v>4308.3900000000003</c:v>
                </c:pt>
                <c:pt idx="246" formatCode="General">
                  <c:v>4315.8</c:v>
                </c:pt>
                <c:pt idx="247" formatCode="General">
                  <c:v>4328.3</c:v>
                </c:pt>
                <c:pt idx="248">
                  <c:v>4337.3</c:v>
                </c:pt>
                <c:pt idx="249" formatCode="General">
                  <c:v>4340.8</c:v>
                </c:pt>
                <c:pt idx="250">
                  <c:v>4353.3</c:v>
                </c:pt>
                <c:pt idx="251" formatCode="General">
                  <c:v>4365.8</c:v>
                </c:pt>
                <c:pt idx="252">
                  <c:v>4366.2</c:v>
                </c:pt>
                <c:pt idx="253" formatCode="General">
                  <c:v>4378.3</c:v>
                </c:pt>
                <c:pt idx="254">
                  <c:v>4390.8</c:v>
                </c:pt>
                <c:pt idx="255">
                  <c:v>4395.0600000000004</c:v>
                </c:pt>
                <c:pt idx="256" formatCode="General">
                  <c:v>4403.3</c:v>
                </c:pt>
                <c:pt idx="257" formatCode="General">
                  <c:v>4408.3</c:v>
                </c:pt>
                <c:pt idx="258">
                  <c:v>4415.8</c:v>
                </c:pt>
                <c:pt idx="259">
                  <c:v>4422.55</c:v>
                </c:pt>
                <c:pt idx="260">
                  <c:v>4428.3</c:v>
                </c:pt>
                <c:pt idx="261">
                  <c:v>4440.8</c:v>
                </c:pt>
                <c:pt idx="262">
                  <c:v>4450.58</c:v>
                </c:pt>
                <c:pt idx="263">
                  <c:v>4453.3</c:v>
                </c:pt>
                <c:pt idx="264" formatCode="General">
                  <c:v>4465.8</c:v>
                </c:pt>
                <c:pt idx="265">
                  <c:v>4478.3</c:v>
                </c:pt>
                <c:pt idx="266">
                  <c:v>4479.54</c:v>
                </c:pt>
                <c:pt idx="267" formatCode="General">
                  <c:v>4490.8</c:v>
                </c:pt>
                <c:pt idx="268" formatCode="General">
                  <c:v>4503.3</c:v>
                </c:pt>
                <c:pt idx="269">
                  <c:v>4508.28</c:v>
                </c:pt>
                <c:pt idx="270">
                  <c:v>4508.3</c:v>
                </c:pt>
                <c:pt idx="271" formatCode="General">
                  <c:v>4515.8</c:v>
                </c:pt>
                <c:pt idx="272" formatCode="General">
                  <c:v>4528.3</c:v>
                </c:pt>
                <c:pt idx="273">
                  <c:v>4537.1400000000003</c:v>
                </c:pt>
                <c:pt idx="274" formatCode="General">
                  <c:v>4540.8</c:v>
                </c:pt>
                <c:pt idx="275">
                  <c:v>4553.3</c:v>
                </c:pt>
                <c:pt idx="276" formatCode="General">
                  <c:v>4565.8</c:v>
                </c:pt>
                <c:pt idx="277">
                  <c:v>4565.9399999999996</c:v>
                </c:pt>
                <c:pt idx="278" formatCode="General">
                  <c:v>4578.3</c:v>
                </c:pt>
                <c:pt idx="279">
                  <c:v>4590.8</c:v>
                </c:pt>
                <c:pt idx="280">
                  <c:v>4595.1499999999996</c:v>
                </c:pt>
                <c:pt idx="281" formatCode="General">
                  <c:v>4603.3</c:v>
                </c:pt>
                <c:pt idx="282" formatCode="General">
                  <c:v>4608.3</c:v>
                </c:pt>
                <c:pt idx="283">
                  <c:v>4624.01</c:v>
                </c:pt>
                <c:pt idx="284" formatCode="General">
                  <c:v>4624.3</c:v>
                </c:pt>
                <c:pt idx="285">
                  <c:v>4631.8</c:v>
                </c:pt>
                <c:pt idx="286" formatCode="General">
                  <c:v>4644.3</c:v>
                </c:pt>
                <c:pt idx="287">
                  <c:v>4652.8999999999996</c:v>
                </c:pt>
                <c:pt idx="288" formatCode="General">
                  <c:v>4656.8</c:v>
                </c:pt>
                <c:pt idx="289" formatCode="General">
                  <c:v>4669.3</c:v>
                </c:pt>
                <c:pt idx="290">
                  <c:v>4681.8</c:v>
                </c:pt>
                <c:pt idx="291">
                  <c:v>4681.88</c:v>
                </c:pt>
                <c:pt idx="292" formatCode="General">
                  <c:v>4694.3</c:v>
                </c:pt>
                <c:pt idx="293" formatCode="General">
                  <c:v>4706.8</c:v>
                </c:pt>
                <c:pt idx="294">
                  <c:v>4710.72</c:v>
                </c:pt>
                <c:pt idx="295">
                  <c:v>4719.3</c:v>
                </c:pt>
                <c:pt idx="296" formatCode="General">
                  <c:v>4724.3</c:v>
                </c:pt>
                <c:pt idx="297">
                  <c:v>4739.87</c:v>
                </c:pt>
                <c:pt idx="298">
                  <c:v>4768.9799999999996</c:v>
                </c:pt>
                <c:pt idx="299">
                  <c:v>4797.76</c:v>
                </c:pt>
                <c:pt idx="300">
                  <c:v>4826.84</c:v>
                </c:pt>
                <c:pt idx="301" formatCode="General">
                  <c:v>4854.8999999999996</c:v>
                </c:pt>
                <c:pt idx="302">
                  <c:v>4855.8500000000004</c:v>
                </c:pt>
                <c:pt idx="303" formatCode="General">
                  <c:v>4862.3999999999996</c:v>
                </c:pt>
                <c:pt idx="304">
                  <c:v>4874.8999999999996</c:v>
                </c:pt>
                <c:pt idx="305">
                  <c:v>4885.0200000000004</c:v>
                </c:pt>
                <c:pt idx="306" formatCode="General">
                  <c:v>4887.3999999999996</c:v>
                </c:pt>
                <c:pt idx="307" formatCode="General">
                  <c:v>4899.8999999999996</c:v>
                </c:pt>
                <c:pt idx="308">
                  <c:v>4912.3999999999996</c:v>
                </c:pt>
                <c:pt idx="309">
                  <c:v>4913.55</c:v>
                </c:pt>
                <c:pt idx="310" formatCode="General">
                  <c:v>4924.8999999999996</c:v>
                </c:pt>
                <c:pt idx="311" formatCode="General">
                  <c:v>4937.3999999999996</c:v>
                </c:pt>
                <c:pt idx="312">
                  <c:v>4942.6400000000003</c:v>
                </c:pt>
                <c:pt idx="313" formatCode="General">
                  <c:v>4949.8999999999996</c:v>
                </c:pt>
                <c:pt idx="314">
                  <c:v>4954.8999999999996</c:v>
                </c:pt>
                <c:pt idx="315">
                  <c:v>4962.3999999999996</c:v>
                </c:pt>
                <c:pt idx="316">
                  <c:v>4971.1099999999997</c:v>
                </c:pt>
                <c:pt idx="317">
                  <c:v>4974.8999999999996</c:v>
                </c:pt>
                <c:pt idx="318">
                  <c:v>4987.3999999999996</c:v>
                </c:pt>
                <c:pt idx="319">
                  <c:v>4999.8999999999996</c:v>
                </c:pt>
                <c:pt idx="320">
                  <c:v>5000.5200000000004</c:v>
                </c:pt>
                <c:pt idx="321" formatCode="General">
                  <c:v>5012.3999999999996</c:v>
                </c:pt>
                <c:pt idx="322" formatCode="General">
                  <c:v>5024.8999999999996</c:v>
                </c:pt>
                <c:pt idx="323">
                  <c:v>5029.5200000000004</c:v>
                </c:pt>
                <c:pt idx="324">
                  <c:v>5037.3999999999996</c:v>
                </c:pt>
                <c:pt idx="325" formatCode="General">
                  <c:v>5049.8999999999996</c:v>
                </c:pt>
                <c:pt idx="326" formatCode="General">
                  <c:v>5054.8999999999996</c:v>
                </c:pt>
                <c:pt idx="327">
                  <c:v>5057.6499999999996</c:v>
                </c:pt>
                <c:pt idx="328" formatCode="General">
                  <c:v>5062.3999999999996</c:v>
                </c:pt>
                <c:pt idx="329">
                  <c:v>5074.8999999999996</c:v>
                </c:pt>
                <c:pt idx="330">
                  <c:v>5085.29</c:v>
                </c:pt>
                <c:pt idx="331" formatCode="General">
                  <c:v>5087.3999999999996</c:v>
                </c:pt>
                <c:pt idx="332" formatCode="General">
                  <c:v>5099.8999999999996</c:v>
                </c:pt>
                <c:pt idx="333" formatCode="General">
                  <c:v>5104.8999999999996</c:v>
                </c:pt>
                <c:pt idx="334">
                  <c:v>5114.55</c:v>
                </c:pt>
                <c:pt idx="335">
                  <c:v>5143.82</c:v>
                </c:pt>
                <c:pt idx="336">
                  <c:v>5172.68</c:v>
                </c:pt>
                <c:pt idx="337">
                  <c:v>5201.7</c:v>
                </c:pt>
                <c:pt idx="338">
                  <c:v>5230.72</c:v>
                </c:pt>
                <c:pt idx="339">
                  <c:v>5241.3</c:v>
                </c:pt>
                <c:pt idx="340" formatCode="General">
                  <c:v>5248.8</c:v>
                </c:pt>
                <c:pt idx="341">
                  <c:v>5259.84</c:v>
                </c:pt>
                <c:pt idx="342" formatCode="General">
                  <c:v>5261.3</c:v>
                </c:pt>
                <c:pt idx="343">
                  <c:v>5273.8</c:v>
                </c:pt>
                <c:pt idx="344" formatCode="General">
                  <c:v>5286.3</c:v>
                </c:pt>
                <c:pt idx="345">
                  <c:v>5289.38</c:v>
                </c:pt>
                <c:pt idx="346">
                  <c:v>5291.3</c:v>
                </c:pt>
                <c:pt idx="347">
                  <c:v>5311.3</c:v>
                </c:pt>
                <c:pt idx="348" formatCode="General">
                  <c:v>5318.8</c:v>
                </c:pt>
                <c:pt idx="349">
                  <c:v>5318.84</c:v>
                </c:pt>
                <c:pt idx="350">
                  <c:v>5331.3</c:v>
                </c:pt>
                <c:pt idx="351" formatCode="General">
                  <c:v>5343.8</c:v>
                </c:pt>
                <c:pt idx="352">
                  <c:v>5348.37</c:v>
                </c:pt>
                <c:pt idx="353">
                  <c:v>5356.3</c:v>
                </c:pt>
                <c:pt idx="354">
                  <c:v>5377.69</c:v>
                </c:pt>
                <c:pt idx="355">
                  <c:v>5406.98</c:v>
                </c:pt>
                <c:pt idx="356">
                  <c:v>5428</c:v>
                </c:pt>
                <c:pt idx="357">
                  <c:v>5436.05</c:v>
                </c:pt>
                <c:pt idx="358">
                  <c:v>5438.8</c:v>
                </c:pt>
                <c:pt idx="359">
                  <c:v>5465.05</c:v>
                </c:pt>
                <c:pt idx="360">
                  <c:v>5493.82</c:v>
                </c:pt>
                <c:pt idx="361">
                  <c:v>5501.88</c:v>
                </c:pt>
              </c:numCache>
            </c:numRef>
          </c:xVal>
          <c:yVal>
            <c:numRef>
              <c:f>'LCa-3159 '!$V$2:$V$363</c:f>
              <c:numCache>
                <c:formatCode>0.00</c:formatCode>
                <c:ptCount val="362"/>
                <c:pt idx="113">
                  <c:v>3.180000000000291</c:v>
                </c:pt>
                <c:pt idx="116">
                  <c:v>3.3400000000001455</c:v>
                </c:pt>
                <c:pt idx="120">
                  <c:v>3.0899999999996908</c:v>
                </c:pt>
                <c:pt idx="122">
                  <c:v>2.7300000000000182</c:v>
                </c:pt>
                <c:pt idx="123">
                  <c:v>2.5</c:v>
                </c:pt>
                <c:pt idx="124">
                  <c:v>2.4099999999998545</c:v>
                </c:pt>
                <c:pt idx="125">
                  <c:v>2.5599999999999454</c:v>
                </c:pt>
                <c:pt idx="126">
                  <c:v>2.8000000000001819</c:v>
                </c:pt>
                <c:pt idx="127">
                  <c:v>2.7300000000000182</c:v>
                </c:pt>
                <c:pt idx="130">
                  <c:v>2.5400000000004184</c:v>
                </c:pt>
                <c:pt idx="133">
                  <c:v>2.4499999999998181</c:v>
                </c:pt>
                <c:pt idx="136">
                  <c:v>2.5199999999999818</c:v>
                </c:pt>
                <c:pt idx="140">
                  <c:v>2.6500000000000909</c:v>
                </c:pt>
                <c:pt idx="144">
                  <c:v>2.6500000000000909</c:v>
                </c:pt>
                <c:pt idx="147">
                  <c:v>2.5799999999999272</c:v>
                </c:pt>
                <c:pt idx="150">
                  <c:v>2.7000000000002728</c:v>
                </c:pt>
                <c:pt idx="154">
                  <c:v>2.5499999999997272</c:v>
                </c:pt>
                <c:pt idx="155">
                  <c:v>2.4800000000000182</c:v>
                </c:pt>
                <c:pt idx="158">
                  <c:v>2.6399999999998727</c:v>
                </c:pt>
                <c:pt idx="161">
                  <c:v>2.3200000000001637</c:v>
                </c:pt>
                <c:pt idx="165">
                  <c:v>2.3099999999999454</c:v>
                </c:pt>
                <c:pt idx="169">
                  <c:v>2.4099999999998545</c:v>
                </c:pt>
                <c:pt idx="172">
                  <c:v>2.0999999999999091</c:v>
                </c:pt>
                <c:pt idx="176">
                  <c:v>1.8400000000001455</c:v>
                </c:pt>
                <c:pt idx="179">
                  <c:v>1.8200000000001637</c:v>
                </c:pt>
                <c:pt idx="183">
                  <c:v>1.8099999999999454</c:v>
                </c:pt>
                <c:pt idx="187">
                  <c:v>1.7999999999997272</c:v>
                </c:pt>
                <c:pt idx="189">
                  <c:v>1.7799999999997453</c:v>
                </c:pt>
                <c:pt idx="190">
                  <c:v>1.75</c:v>
                </c:pt>
                <c:pt idx="191">
                  <c:v>1.6999999999998181</c:v>
                </c:pt>
                <c:pt idx="192">
                  <c:v>1.6900000000000546</c:v>
                </c:pt>
                <c:pt idx="193">
                  <c:v>1.9600000000000364</c:v>
                </c:pt>
                <c:pt idx="196">
                  <c:v>2.1999999999998181</c:v>
                </c:pt>
                <c:pt idx="199">
                  <c:v>2.180000000000291</c:v>
                </c:pt>
                <c:pt idx="203">
                  <c:v>2.2000000000002728</c:v>
                </c:pt>
                <c:pt idx="207">
                  <c:v>2.2399999999997817</c:v>
                </c:pt>
                <c:pt idx="211">
                  <c:v>2.2300000000000182</c:v>
                </c:pt>
                <c:pt idx="215">
                  <c:v>2.25</c:v>
                </c:pt>
                <c:pt idx="219">
                  <c:v>2.25</c:v>
                </c:pt>
                <c:pt idx="223">
                  <c:v>2.2300000000000182</c:v>
                </c:pt>
                <c:pt idx="226">
                  <c:v>2.1799999999998363</c:v>
                </c:pt>
                <c:pt idx="229">
                  <c:v>2.0500000000001819</c:v>
                </c:pt>
                <c:pt idx="230">
                  <c:v>1.9700000000002547</c:v>
                </c:pt>
                <c:pt idx="231">
                  <c:v>2.1199999999998909</c:v>
                </c:pt>
                <c:pt idx="234">
                  <c:v>2.2600000000002183</c:v>
                </c:pt>
                <c:pt idx="237">
                  <c:v>2.1100000000001273</c:v>
                </c:pt>
                <c:pt idx="241">
                  <c:v>2.0100000000002183</c:v>
                </c:pt>
                <c:pt idx="245">
                  <c:v>1.7799999999997453</c:v>
                </c:pt>
                <c:pt idx="248">
                  <c:v>1.4000000000000909</c:v>
                </c:pt>
                <c:pt idx="252">
                  <c:v>1.2000000000002728</c:v>
                </c:pt>
                <c:pt idx="255">
                  <c:v>1.2600000000002183</c:v>
                </c:pt>
                <c:pt idx="259">
                  <c:v>1.5799999999999272</c:v>
                </c:pt>
                <c:pt idx="262">
                  <c:v>1.9900000000002365</c:v>
                </c:pt>
                <c:pt idx="266">
                  <c:v>2.1399999999998727</c:v>
                </c:pt>
                <c:pt idx="269">
                  <c:v>2.2699999999999818</c:v>
                </c:pt>
                <c:pt idx="273">
                  <c:v>2.9100000000003092</c:v>
                </c:pt>
                <c:pt idx="277">
                  <c:v>3.3200000000001637</c:v>
                </c:pt>
                <c:pt idx="280">
                  <c:v>3.3200000000001637</c:v>
                </c:pt>
                <c:pt idx="283">
                  <c:v>3.2799999999997453</c:v>
                </c:pt>
                <c:pt idx="287">
                  <c:v>3.2999999999997272</c:v>
                </c:pt>
                <c:pt idx="291">
                  <c:v>3.3599999999996726</c:v>
                </c:pt>
                <c:pt idx="294">
                  <c:v>3.3299999999999272</c:v>
                </c:pt>
                <c:pt idx="297">
                  <c:v>3.25</c:v>
                </c:pt>
                <c:pt idx="298">
                  <c:v>3.9100000000003092</c:v>
                </c:pt>
                <c:pt idx="299">
                  <c:v>4.4899999999997817</c:v>
                </c:pt>
                <c:pt idx="300">
                  <c:v>4.6300000000001091</c:v>
                </c:pt>
                <c:pt idx="302">
                  <c:v>4.8999999999996362</c:v>
                </c:pt>
                <c:pt idx="305">
                  <c:v>5.1700000000000728</c:v>
                </c:pt>
                <c:pt idx="309">
                  <c:v>5.2199999999997999</c:v>
                </c:pt>
                <c:pt idx="312">
                  <c:v>5.0500000000001819</c:v>
                </c:pt>
                <c:pt idx="316">
                  <c:v>5.0399999999999636</c:v>
                </c:pt>
                <c:pt idx="320">
                  <c:v>4.9899999999997817</c:v>
                </c:pt>
                <c:pt idx="323">
                  <c:v>5.1700000000000728</c:v>
                </c:pt>
                <c:pt idx="327">
                  <c:v>5.5500000000001819</c:v>
                </c:pt>
                <c:pt idx="330">
                  <c:v>5.6899999999995998</c:v>
                </c:pt>
                <c:pt idx="334">
                  <c:v>5.4500000000002728</c:v>
                </c:pt>
                <c:pt idx="335">
                  <c:v>5.0799999999999272</c:v>
                </c:pt>
                <c:pt idx="336">
                  <c:v>5.1700000000000728</c:v>
                </c:pt>
                <c:pt idx="337">
                  <c:v>5.5900000000001455</c:v>
                </c:pt>
                <c:pt idx="338">
                  <c:v>5.8299999999999272</c:v>
                </c:pt>
                <c:pt idx="341">
                  <c:v>5.8699999999998909</c:v>
                </c:pt>
                <c:pt idx="345">
                  <c:v>5.8699999999998909</c:v>
                </c:pt>
                <c:pt idx="349">
                  <c:v>5.8000000000001819</c:v>
                </c:pt>
                <c:pt idx="352">
                  <c:v>5.7599999999997635</c:v>
                </c:pt>
                <c:pt idx="354">
                  <c:v>5.8800000000001091</c:v>
                </c:pt>
                <c:pt idx="355">
                  <c:v>5.8099999999999454</c:v>
                </c:pt>
                <c:pt idx="357">
                  <c:v>5.5900000000001455</c:v>
                </c:pt>
                <c:pt idx="359">
                  <c:v>5.4000000000000909</c:v>
                </c:pt>
                <c:pt idx="360">
                  <c:v>5.2800000000002001</c:v>
                </c:pt>
                <c:pt idx="361">
                  <c:v>5.2199999999997999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90-5D4C-9E77-DED23C1C1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685248"/>
        <c:axId val="312687408"/>
      </c:scatterChart>
      <c:valAx>
        <c:axId val="312685248"/>
        <c:scaling>
          <c:orientation val="minMax"/>
          <c:min val="294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O"/>
          </a:p>
        </c:txPr>
        <c:crossAx val="312687408"/>
        <c:crosses val="autoZero"/>
        <c:crossBetween val="midCat"/>
      </c:valAx>
      <c:valAx>
        <c:axId val="31268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O"/>
          </a:p>
        </c:txPr>
        <c:crossAx val="312685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O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DLS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'LCa-3159 '!$A$104:$A$366</c:f>
              <c:numCache>
                <c:formatCode>0.00</c:formatCode>
                <c:ptCount val="262"/>
                <c:pt idx="0">
                  <c:v>2880.74</c:v>
                </c:pt>
                <c:pt idx="1">
                  <c:v>2885.2</c:v>
                </c:pt>
                <c:pt idx="2">
                  <c:v>2897.7</c:v>
                </c:pt>
                <c:pt idx="3">
                  <c:v>2909.88</c:v>
                </c:pt>
                <c:pt idx="4" formatCode="General">
                  <c:v>2910.2</c:v>
                </c:pt>
                <c:pt idx="5" formatCode="General">
                  <c:v>2922.7</c:v>
                </c:pt>
                <c:pt idx="6">
                  <c:v>2927.2</c:v>
                </c:pt>
                <c:pt idx="7" formatCode="General">
                  <c:v>2935.2</c:v>
                </c:pt>
                <c:pt idx="8">
                  <c:v>2939.01</c:v>
                </c:pt>
                <c:pt idx="9" formatCode="General">
                  <c:v>2947.7</c:v>
                </c:pt>
                <c:pt idx="10" formatCode="General">
                  <c:v>2960.2</c:v>
                </c:pt>
                <c:pt idx="11">
                  <c:v>2968.16</c:v>
                </c:pt>
                <c:pt idx="12">
                  <c:v>2972.7</c:v>
                </c:pt>
                <c:pt idx="13" formatCode="General">
                  <c:v>2985.2</c:v>
                </c:pt>
                <c:pt idx="14">
                  <c:v>2997.28</c:v>
                </c:pt>
                <c:pt idx="15" formatCode="General">
                  <c:v>2997.7</c:v>
                </c:pt>
                <c:pt idx="16" formatCode="General">
                  <c:v>3010.2</c:v>
                </c:pt>
                <c:pt idx="17">
                  <c:v>3022.7</c:v>
                </c:pt>
                <c:pt idx="18">
                  <c:v>3026.48</c:v>
                </c:pt>
                <c:pt idx="19" formatCode="General">
                  <c:v>3027.7</c:v>
                </c:pt>
                <c:pt idx="20">
                  <c:v>3055.7</c:v>
                </c:pt>
                <c:pt idx="21">
                  <c:v>3084.97</c:v>
                </c:pt>
                <c:pt idx="22">
                  <c:v>3107.03</c:v>
                </c:pt>
                <c:pt idx="23">
                  <c:v>3126.76</c:v>
                </c:pt>
                <c:pt idx="24">
                  <c:v>3154.93</c:v>
                </c:pt>
                <c:pt idx="25">
                  <c:v>3184.21</c:v>
                </c:pt>
                <c:pt idx="26" formatCode="General">
                  <c:v>3205</c:v>
                </c:pt>
                <c:pt idx="27" formatCode="General">
                  <c:v>3212.5</c:v>
                </c:pt>
                <c:pt idx="28">
                  <c:v>3213.31</c:v>
                </c:pt>
                <c:pt idx="29">
                  <c:v>3225</c:v>
                </c:pt>
                <c:pt idx="30" formatCode="General">
                  <c:v>3237.5</c:v>
                </c:pt>
                <c:pt idx="31">
                  <c:v>3242.25</c:v>
                </c:pt>
                <c:pt idx="32" formatCode="General">
                  <c:v>3250</c:v>
                </c:pt>
                <c:pt idx="33" formatCode="General">
                  <c:v>3262.5</c:v>
                </c:pt>
                <c:pt idx="34">
                  <c:v>3271.08</c:v>
                </c:pt>
                <c:pt idx="35">
                  <c:v>3275</c:v>
                </c:pt>
                <c:pt idx="36" formatCode="General">
                  <c:v>3287.5</c:v>
                </c:pt>
                <c:pt idx="37" formatCode="General">
                  <c:v>3300</c:v>
                </c:pt>
                <c:pt idx="38">
                  <c:v>3300.2</c:v>
                </c:pt>
                <c:pt idx="39" formatCode="General">
                  <c:v>3305</c:v>
                </c:pt>
                <c:pt idx="40">
                  <c:v>3312.5</c:v>
                </c:pt>
                <c:pt idx="41" formatCode="General">
                  <c:v>3325</c:v>
                </c:pt>
                <c:pt idx="42">
                  <c:v>3329.22</c:v>
                </c:pt>
                <c:pt idx="43" formatCode="General">
                  <c:v>3337.5</c:v>
                </c:pt>
                <c:pt idx="44" formatCode="General">
                  <c:v>3350</c:v>
                </c:pt>
                <c:pt idx="45">
                  <c:v>3358.12</c:v>
                </c:pt>
                <c:pt idx="46">
                  <c:v>3362.5</c:v>
                </c:pt>
                <c:pt idx="47" formatCode="General">
                  <c:v>3375</c:v>
                </c:pt>
                <c:pt idx="48">
                  <c:v>3387.09</c:v>
                </c:pt>
                <c:pt idx="49" formatCode="General">
                  <c:v>3387.5</c:v>
                </c:pt>
                <c:pt idx="50">
                  <c:v>3400</c:v>
                </c:pt>
                <c:pt idx="51" formatCode="General">
                  <c:v>3405</c:v>
                </c:pt>
                <c:pt idx="52">
                  <c:v>3416.2</c:v>
                </c:pt>
                <c:pt idx="53">
                  <c:v>3444.81</c:v>
                </c:pt>
                <c:pt idx="54" formatCode="General">
                  <c:v>3459</c:v>
                </c:pt>
                <c:pt idx="55">
                  <c:v>3466.5</c:v>
                </c:pt>
                <c:pt idx="56">
                  <c:v>3474.08</c:v>
                </c:pt>
                <c:pt idx="57">
                  <c:v>3479</c:v>
                </c:pt>
                <c:pt idx="58">
                  <c:v>3491.5</c:v>
                </c:pt>
                <c:pt idx="59">
                  <c:v>3503.02</c:v>
                </c:pt>
                <c:pt idx="60" formatCode="General">
                  <c:v>3504</c:v>
                </c:pt>
                <c:pt idx="61" formatCode="General">
                  <c:v>3516.5</c:v>
                </c:pt>
                <c:pt idx="62">
                  <c:v>3529</c:v>
                </c:pt>
                <c:pt idx="63">
                  <c:v>3532.14</c:v>
                </c:pt>
                <c:pt idx="64" formatCode="General">
                  <c:v>3541.5</c:v>
                </c:pt>
                <c:pt idx="65" formatCode="General">
                  <c:v>3554</c:v>
                </c:pt>
                <c:pt idx="66">
                  <c:v>3559</c:v>
                </c:pt>
                <c:pt idx="67">
                  <c:v>3561.06</c:v>
                </c:pt>
                <c:pt idx="68" formatCode="General">
                  <c:v>3566.5</c:v>
                </c:pt>
                <c:pt idx="69" formatCode="General">
                  <c:v>3579</c:v>
                </c:pt>
                <c:pt idx="70">
                  <c:v>3590.09</c:v>
                </c:pt>
                <c:pt idx="71" formatCode="General">
                  <c:v>3591.5</c:v>
                </c:pt>
                <c:pt idx="72">
                  <c:v>3604</c:v>
                </c:pt>
                <c:pt idx="73" formatCode="General">
                  <c:v>3616.5</c:v>
                </c:pt>
                <c:pt idx="74">
                  <c:v>3619.2</c:v>
                </c:pt>
                <c:pt idx="75" formatCode="General">
                  <c:v>3629</c:v>
                </c:pt>
                <c:pt idx="76" formatCode="General">
                  <c:v>3641.5</c:v>
                </c:pt>
                <c:pt idx="77">
                  <c:v>3648.08</c:v>
                </c:pt>
                <c:pt idx="78">
                  <c:v>3654</c:v>
                </c:pt>
                <c:pt idx="79" formatCode="General">
                  <c:v>3659</c:v>
                </c:pt>
                <c:pt idx="80" formatCode="General">
                  <c:v>3666.5</c:v>
                </c:pt>
                <c:pt idx="81">
                  <c:v>3677.05</c:v>
                </c:pt>
                <c:pt idx="82">
                  <c:v>3679</c:v>
                </c:pt>
                <c:pt idx="83" formatCode="General">
                  <c:v>3691.5</c:v>
                </c:pt>
                <c:pt idx="84" formatCode="General">
                  <c:v>3704</c:v>
                </c:pt>
                <c:pt idx="85">
                  <c:v>3706.03</c:v>
                </c:pt>
                <c:pt idx="86" formatCode="General">
                  <c:v>3709</c:v>
                </c:pt>
                <c:pt idx="87">
                  <c:v>3728.95</c:v>
                </c:pt>
                <c:pt idx="88">
                  <c:v>3758.4</c:v>
                </c:pt>
                <c:pt idx="89">
                  <c:v>3787.61</c:v>
                </c:pt>
                <c:pt idx="90">
                  <c:v>3816.51</c:v>
                </c:pt>
                <c:pt idx="91">
                  <c:v>3845.51</c:v>
                </c:pt>
                <c:pt idx="92">
                  <c:v>3862.9</c:v>
                </c:pt>
                <c:pt idx="93" formatCode="General">
                  <c:v>3870.4</c:v>
                </c:pt>
                <c:pt idx="94">
                  <c:v>3874.44</c:v>
                </c:pt>
                <c:pt idx="95" formatCode="General">
                  <c:v>3882.9</c:v>
                </c:pt>
                <c:pt idx="96">
                  <c:v>3895.4</c:v>
                </c:pt>
                <c:pt idx="97">
                  <c:v>3903.64</c:v>
                </c:pt>
                <c:pt idx="98" formatCode="General">
                  <c:v>3907.9</c:v>
                </c:pt>
                <c:pt idx="99" formatCode="General">
                  <c:v>3912.9</c:v>
                </c:pt>
                <c:pt idx="100" formatCode="General">
                  <c:v>3920.4</c:v>
                </c:pt>
                <c:pt idx="101">
                  <c:v>3932.38</c:v>
                </c:pt>
                <c:pt idx="102">
                  <c:v>3932.9</c:v>
                </c:pt>
                <c:pt idx="103" formatCode="General">
                  <c:v>3945.4</c:v>
                </c:pt>
                <c:pt idx="104" formatCode="General">
                  <c:v>3957.9</c:v>
                </c:pt>
                <c:pt idx="105">
                  <c:v>3961.19</c:v>
                </c:pt>
                <c:pt idx="106">
                  <c:v>3962.9</c:v>
                </c:pt>
                <c:pt idx="107" formatCode="General">
                  <c:v>3970.4</c:v>
                </c:pt>
                <c:pt idx="108" formatCode="General">
                  <c:v>3982.9</c:v>
                </c:pt>
                <c:pt idx="109">
                  <c:v>3990.21</c:v>
                </c:pt>
                <c:pt idx="110" formatCode="General">
                  <c:v>3995.4</c:v>
                </c:pt>
                <c:pt idx="111">
                  <c:v>4007.9</c:v>
                </c:pt>
                <c:pt idx="112" formatCode="General">
                  <c:v>4012.9</c:v>
                </c:pt>
                <c:pt idx="113">
                  <c:v>4019.24</c:v>
                </c:pt>
                <c:pt idx="114" formatCode="General">
                  <c:v>4020.4</c:v>
                </c:pt>
                <c:pt idx="115">
                  <c:v>4032.9</c:v>
                </c:pt>
                <c:pt idx="116" formatCode="General">
                  <c:v>4045.4</c:v>
                </c:pt>
                <c:pt idx="117">
                  <c:v>4048.23</c:v>
                </c:pt>
                <c:pt idx="118" formatCode="General">
                  <c:v>4057.9</c:v>
                </c:pt>
                <c:pt idx="119" formatCode="General">
                  <c:v>4062.9</c:v>
                </c:pt>
                <c:pt idx="120">
                  <c:v>4070.4</c:v>
                </c:pt>
                <c:pt idx="121">
                  <c:v>4077.24</c:v>
                </c:pt>
                <c:pt idx="122" formatCode="General">
                  <c:v>4082.9</c:v>
                </c:pt>
                <c:pt idx="123" formatCode="General">
                  <c:v>4095.4</c:v>
                </c:pt>
                <c:pt idx="124">
                  <c:v>4106.13</c:v>
                </c:pt>
                <c:pt idx="125" formatCode="General">
                  <c:v>4107.8999999999996</c:v>
                </c:pt>
                <c:pt idx="126">
                  <c:v>4112.8999999999996</c:v>
                </c:pt>
                <c:pt idx="127">
                  <c:v>4135.3</c:v>
                </c:pt>
                <c:pt idx="128">
                  <c:v>4164.16</c:v>
                </c:pt>
                <c:pt idx="129">
                  <c:v>4193.21</c:v>
                </c:pt>
                <c:pt idx="130" formatCode="General">
                  <c:v>4208.3</c:v>
                </c:pt>
                <c:pt idx="131" formatCode="General">
                  <c:v>4215.8</c:v>
                </c:pt>
                <c:pt idx="132">
                  <c:v>4221.84</c:v>
                </c:pt>
                <c:pt idx="133">
                  <c:v>4228.3</c:v>
                </c:pt>
                <c:pt idx="134" formatCode="General">
                  <c:v>4240.8</c:v>
                </c:pt>
                <c:pt idx="135">
                  <c:v>4250.54</c:v>
                </c:pt>
                <c:pt idx="136" formatCode="General">
                  <c:v>4253.3</c:v>
                </c:pt>
                <c:pt idx="137">
                  <c:v>4265.8</c:v>
                </c:pt>
                <c:pt idx="138" formatCode="General">
                  <c:v>4278.3</c:v>
                </c:pt>
                <c:pt idx="139">
                  <c:v>4279.54</c:v>
                </c:pt>
                <c:pt idx="140" formatCode="General">
                  <c:v>4290.8</c:v>
                </c:pt>
                <c:pt idx="141" formatCode="General">
                  <c:v>4303.3</c:v>
                </c:pt>
                <c:pt idx="142">
                  <c:v>4308.3</c:v>
                </c:pt>
                <c:pt idx="143">
                  <c:v>4308.3900000000003</c:v>
                </c:pt>
                <c:pt idx="144" formatCode="General">
                  <c:v>4315.8</c:v>
                </c:pt>
                <c:pt idx="145" formatCode="General">
                  <c:v>4328.3</c:v>
                </c:pt>
                <c:pt idx="146">
                  <c:v>4337.3</c:v>
                </c:pt>
                <c:pt idx="147" formatCode="General">
                  <c:v>4340.8</c:v>
                </c:pt>
                <c:pt idx="148">
                  <c:v>4353.3</c:v>
                </c:pt>
                <c:pt idx="149" formatCode="General">
                  <c:v>4365.8</c:v>
                </c:pt>
                <c:pt idx="150">
                  <c:v>4366.2</c:v>
                </c:pt>
                <c:pt idx="151" formatCode="General">
                  <c:v>4378.3</c:v>
                </c:pt>
                <c:pt idx="152">
                  <c:v>4390.8</c:v>
                </c:pt>
                <c:pt idx="153">
                  <c:v>4395.0600000000004</c:v>
                </c:pt>
                <c:pt idx="154" formatCode="General">
                  <c:v>4403.3</c:v>
                </c:pt>
                <c:pt idx="155" formatCode="General">
                  <c:v>4408.3</c:v>
                </c:pt>
                <c:pt idx="156">
                  <c:v>4415.8</c:v>
                </c:pt>
                <c:pt idx="157">
                  <c:v>4422.55</c:v>
                </c:pt>
                <c:pt idx="158">
                  <c:v>4428.3</c:v>
                </c:pt>
                <c:pt idx="159">
                  <c:v>4440.8</c:v>
                </c:pt>
                <c:pt idx="160">
                  <c:v>4450.58</c:v>
                </c:pt>
                <c:pt idx="161">
                  <c:v>4453.3</c:v>
                </c:pt>
                <c:pt idx="162" formatCode="General">
                  <c:v>4465.8</c:v>
                </c:pt>
                <c:pt idx="163">
                  <c:v>4478.3</c:v>
                </c:pt>
                <c:pt idx="164">
                  <c:v>4479.54</c:v>
                </c:pt>
                <c:pt idx="165" formatCode="General">
                  <c:v>4490.8</c:v>
                </c:pt>
                <c:pt idx="166" formatCode="General">
                  <c:v>4503.3</c:v>
                </c:pt>
                <c:pt idx="167">
                  <c:v>4508.28</c:v>
                </c:pt>
                <c:pt idx="168">
                  <c:v>4508.3</c:v>
                </c:pt>
                <c:pt idx="169" formatCode="General">
                  <c:v>4515.8</c:v>
                </c:pt>
                <c:pt idx="170" formatCode="General">
                  <c:v>4528.3</c:v>
                </c:pt>
                <c:pt idx="171">
                  <c:v>4537.1400000000003</c:v>
                </c:pt>
                <c:pt idx="172" formatCode="General">
                  <c:v>4540.8</c:v>
                </c:pt>
                <c:pt idx="173">
                  <c:v>4553.3</c:v>
                </c:pt>
                <c:pt idx="174" formatCode="General">
                  <c:v>4565.8</c:v>
                </c:pt>
                <c:pt idx="175">
                  <c:v>4565.9399999999996</c:v>
                </c:pt>
                <c:pt idx="176" formatCode="General">
                  <c:v>4578.3</c:v>
                </c:pt>
                <c:pt idx="177">
                  <c:v>4590.8</c:v>
                </c:pt>
                <c:pt idx="178">
                  <c:v>4595.1499999999996</c:v>
                </c:pt>
                <c:pt idx="179" formatCode="General">
                  <c:v>4603.3</c:v>
                </c:pt>
                <c:pt idx="180" formatCode="General">
                  <c:v>4608.3</c:v>
                </c:pt>
                <c:pt idx="181">
                  <c:v>4624.01</c:v>
                </c:pt>
                <c:pt idx="182" formatCode="General">
                  <c:v>4624.3</c:v>
                </c:pt>
                <c:pt idx="183">
                  <c:v>4631.8</c:v>
                </c:pt>
                <c:pt idx="184" formatCode="General">
                  <c:v>4644.3</c:v>
                </c:pt>
                <c:pt idx="185">
                  <c:v>4652.8999999999996</c:v>
                </c:pt>
                <c:pt idx="186" formatCode="General">
                  <c:v>4656.8</c:v>
                </c:pt>
                <c:pt idx="187" formatCode="General">
                  <c:v>4669.3</c:v>
                </c:pt>
                <c:pt idx="188">
                  <c:v>4681.8</c:v>
                </c:pt>
                <c:pt idx="189">
                  <c:v>4681.88</c:v>
                </c:pt>
                <c:pt idx="190" formatCode="General">
                  <c:v>4694.3</c:v>
                </c:pt>
                <c:pt idx="191" formatCode="General">
                  <c:v>4706.8</c:v>
                </c:pt>
                <c:pt idx="192">
                  <c:v>4710.72</c:v>
                </c:pt>
                <c:pt idx="193">
                  <c:v>4719.3</c:v>
                </c:pt>
                <c:pt idx="194" formatCode="General">
                  <c:v>4724.3</c:v>
                </c:pt>
                <c:pt idx="195">
                  <c:v>4739.87</c:v>
                </c:pt>
                <c:pt idx="196">
                  <c:v>4768.9799999999996</c:v>
                </c:pt>
                <c:pt idx="197">
                  <c:v>4797.76</c:v>
                </c:pt>
                <c:pt idx="198">
                  <c:v>4826.84</c:v>
                </c:pt>
                <c:pt idx="199" formatCode="General">
                  <c:v>4854.8999999999996</c:v>
                </c:pt>
                <c:pt idx="200">
                  <c:v>4855.8500000000004</c:v>
                </c:pt>
                <c:pt idx="201" formatCode="General">
                  <c:v>4862.3999999999996</c:v>
                </c:pt>
                <c:pt idx="202">
                  <c:v>4874.8999999999996</c:v>
                </c:pt>
                <c:pt idx="203">
                  <c:v>4885.0200000000004</c:v>
                </c:pt>
                <c:pt idx="204" formatCode="General">
                  <c:v>4887.3999999999996</c:v>
                </c:pt>
                <c:pt idx="205" formatCode="General">
                  <c:v>4899.8999999999996</c:v>
                </c:pt>
                <c:pt idx="206">
                  <c:v>4912.3999999999996</c:v>
                </c:pt>
                <c:pt idx="207">
                  <c:v>4913.55</c:v>
                </c:pt>
                <c:pt idx="208" formatCode="General">
                  <c:v>4924.8999999999996</c:v>
                </c:pt>
                <c:pt idx="209" formatCode="General">
                  <c:v>4937.3999999999996</c:v>
                </c:pt>
                <c:pt idx="210">
                  <c:v>4942.6400000000003</c:v>
                </c:pt>
                <c:pt idx="211" formatCode="General">
                  <c:v>4949.8999999999996</c:v>
                </c:pt>
                <c:pt idx="212">
                  <c:v>4954.8999999999996</c:v>
                </c:pt>
                <c:pt idx="213">
                  <c:v>4962.3999999999996</c:v>
                </c:pt>
                <c:pt idx="214">
                  <c:v>4971.1099999999997</c:v>
                </c:pt>
                <c:pt idx="215">
                  <c:v>4974.8999999999996</c:v>
                </c:pt>
                <c:pt idx="216">
                  <c:v>4987.3999999999996</c:v>
                </c:pt>
                <c:pt idx="217">
                  <c:v>4999.8999999999996</c:v>
                </c:pt>
                <c:pt idx="218">
                  <c:v>5000.5200000000004</c:v>
                </c:pt>
                <c:pt idx="219" formatCode="General">
                  <c:v>5012.3999999999996</c:v>
                </c:pt>
                <c:pt idx="220" formatCode="General">
                  <c:v>5024.8999999999996</c:v>
                </c:pt>
                <c:pt idx="221">
                  <c:v>5029.5200000000004</c:v>
                </c:pt>
                <c:pt idx="222">
                  <c:v>5037.3999999999996</c:v>
                </c:pt>
                <c:pt idx="223" formatCode="General">
                  <c:v>5049.8999999999996</c:v>
                </c:pt>
                <c:pt idx="224" formatCode="General">
                  <c:v>5054.8999999999996</c:v>
                </c:pt>
                <c:pt idx="225">
                  <c:v>5057.6499999999996</c:v>
                </c:pt>
                <c:pt idx="226" formatCode="General">
                  <c:v>5062.3999999999996</c:v>
                </c:pt>
                <c:pt idx="227">
                  <c:v>5074.8999999999996</c:v>
                </c:pt>
                <c:pt idx="228">
                  <c:v>5085.29</c:v>
                </c:pt>
                <c:pt idx="229" formatCode="General">
                  <c:v>5087.3999999999996</c:v>
                </c:pt>
                <c:pt idx="230" formatCode="General">
                  <c:v>5099.8999999999996</c:v>
                </c:pt>
                <c:pt idx="231" formatCode="General">
                  <c:v>5104.8999999999996</c:v>
                </c:pt>
                <c:pt idx="232">
                  <c:v>5114.55</c:v>
                </c:pt>
                <c:pt idx="233">
                  <c:v>5143.82</c:v>
                </c:pt>
                <c:pt idx="234">
                  <c:v>5172.68</c:v>
                </c:pt>
                <c:pt idx="235">
                  <c:v>5201.7</c:v>
                </c:pt>
                <c:pt idx="236">
                  <c:v>5230.72</c:v>
                </c:pt>
                <c:pt idx="237">
                  <c:v>5241.3</c:v>
                </c:pt>
                <c:pt idx="238" formatCode="General">
                  <c:v>5248.8</c:v>
                </c:pt>
                <c:pt idx="239">
                  <c:v>5259.84</c:v>
                </c:pt>
                <c:pt idx="240" formatCode="General">
                  <c:v>5261.3</c:v>
                </c:pt>
                <c:pt idx="241">
                  <c:v>5273.8</c:v>
                </c:pt>
                <c:pt idx="242" formatCode="General">
                  <c:v>5286.3</c:v>
                </c:pt>
                <c:pt idx="243">
                  <c:v>5289.38</c:v>
                </c:pt>
                <c:pt idx="244">
                  <c:v>5291.3</c:v>
                </c:pt>
                <c:pt idx="245">
                  <c:v>5311.3</c:v>
                </c:pt>
                <c:pt idx="246" formatCode="General">
                  <c:v>5318.8</c:v>
                </c:pt>
                <c:pt idx="247">
                  <c:v>5318.84</c:v>
                </c:pt>
                <c:pt idx="248">
                  <c:v>5331.3</c:v>
                </c:pt>
                <c:pt idx="249" formatCode="General">
                  <c:v>5343.8</c:v>
                </c:pt>
                <c:pt idx="250">
                  <c:v>5348.37</c:v>
                </c:pt>
                <c:pt idx="251">
                  <c:v>5356.3</c:v>
                </c:pt>
                <c:pt idx="252">
                  <c:v>5377.69</c:v>
                </c:pt>
                <c:pt idx="253">
                  <c:v>5406.98</c:v>
                </c:pt>
                <c:pt idx="254">
                  <c:v>5428</c:v>
                </c:pt>
                <c:pt idx="255">
                  <c:v>5436.05</c:v>
                </c:pt>
                <c:pt idx="256">
                  <c:v>5438.8</c:v>
                </c:pt>
                <c:pt idx="257">
                  <c:v>5465.05</c:v>
                </c:pt>
                <c:pt idx="258">
                  <c:v>5493.82</c:v>
                </c:pt>
                <c:pt idx="259">
                  <c:v>5501.88</c:v>
                </c:pt>
              </c:numCache>
            </c:numRef>
          </c:xVal>
          <c:yVal>
            <c:numRef>
              <c:f>'LCa-3159 '!$E$104:$E$366</c:f>
              <c:numCache>
                <c:formatCode>0.00</c:formatCode>
                <c:ptCount val="262"/>
                <c:pt idx="0">
                  <c:v>5.73</c:v>
                </c:pt>
                <c:pt idx="3">
                  <c:v>6.04</c:v>
                </c:pt>
                <c:pt idx="8">
                  <c:v>7.86</c:v>
                </c:pt>
                <c:pt idx="11">
                  <c:v>3.23</c:v>
                </c:pt>
                <c:pt idx="14">
                  <c:v>0.28999999999999998</c:v>
                </c:pt>
                <c:pt idx="18">
                  <c:v>0.8</c:v>
                </c:pt>
                <c:pt idx="20">
                  <c:v>1.0900000000000001</c:v>
                </c:pt>
                <c:pt idx="21">
                  <c:v>1.22</c:v>
                </c:pt>
                <c:pt idx="22">
                  <c:v>0.98</c:v>
                </c:pt>
                <c:pt idx="23">
                  <c:v>2.21</c:v>
                </c:pt>
                <c:pt idx="24">
                  <c:v>1.24</c:v>
                </c:pt>
                <c:pt idx="25">
                  <c:v>0.6</c:v>
                </c:pt>
                <c:pt idx="28">
                  <c:v>0.09</c:v>
                </c:pt>
                <c:pt idx="31">
                  <c:v>0.56000000000000005</c:v>
                </c:pt>
                <c:pt idx="34">
                  <c:v>0.36</c:v>
                </c:pt>
                <c:pt idx="38">
                  <c:v>1.02</c:v>
                </c:pt>
                <c:pt idx="42">
                  <c:v>4.08</c:v>
                </c:pt>
                <c:pt idx="45">
                  <c:v>0.66</c:v>
                </c:pt>
                <c:pt idx="48">
                  <c:v>1.24</c:v>
                </c:pt>
                <c:pt idx="52">
                  <c:v>2.94</c:v>
                </c:pt>
                <c:pt idx="53">
                  <c:v>1.68</c:v>
                </c:pt>
                <c:pt idx="56">
                  <c:v>4.22</c:v>
                </c:pt>
                <c:pt idx="59">
                  <c:v>0.51</c:v>
                </c:pt>
                <c:pt idx="63">
                  <c:v>1.23</c:v>
                </c:pt>
                <c:pt idx="67">
                  <c:v>4.75</c:v>
                </c:pt>
                <c:pt idx="70">
                  <c:v>8</c:v>
                </c:pt>
                <c:pt idx="74">
                  <c:v>1.6</c:v>
                </c:pt>
                <c:pt idx="77">
                  <c:v>7.27</c:v>
                </c:pt>
                <c:pt idx="81">
                  <c:v>0.51</c:v>
                </c:pt>
                <c:pt idx="85">
                  <c:v>1.1499999999999999</c:v>
                </c:pt>
                <c:pt idx="87">
                  <c:v>2.84</c:v>
                </c:pt>
                <c:pt idx="88">
                  <c:v>0.14000000000000001</c:v>
                </c:pt>
                <c:pt idx="89">
                  <c:v>0.19</c:v>
                </c:pt>
                <c:pt idx="90">
                  <c:v>0.22</c:v>
                </c:pt>
                <c:pt idx="91">
                  <c:v>0.4</c:v>
                </c:pt>
                <c:pt idx="94">
                  <c:v>0.45</c:v>
                </c:pt>
                <c:pt idx="97">
                  <c:v>2.41</c:v>
                </c:pt>
                <c:pt idx="101">
                  <c:v>6.69</c:v>
                </c:pt>
                <c:pt idx="105">
                  <c:v>4.3</c:v>
                </c:pt>
                <c:pt idx="109">
                  <c:v>2.96</c:v>
                </c:pt>
                <c:pt idx="113">
                  <c:v>0.49</c:v>
                </c:pt>
                <c:pt idx="117">
                  <c:v>0.35</c:v>
                </c:pt>
                <c:pt idx="121">
                  <c:v>1.83</c:v>
                </c:pt>
                <c:pt idx="124">
                  <c:v>1.22</c:v>
                </c:pt>
                <c:pt idx="127">
                  <c:v>1.2</c:v>
                </c:pt>
                <c:pt idx="128">
                  <c:v>0.28999999999999998</c:v>
                </c:pt>
                <c:pt idx="129">
                  <c:v>1.51</c:v>
                </c:pt>
                <c:pt idx="132">
                  <c:v>1.25</c:v>
                </c:pt>
                <c:pt idx="135">
                  <c:v>2.75</c:v>
                </c:pt>
                <c:pt idx="139">
                  <c:v>3.23</c:v>
                </c:pt>
                <c:pt idx="143">
                  <c:v>0.49</c:v>
                </c:pt>
                <c:pt idx="146">
                  <c:v>2.84</c:v>
                </c:pt>
                <c:pt idx="150">
                  <c:v>1.32</c:v>
                </c:pt>
                <c:pt idx="153">
                  <c:v>3.11</c:v>
                </c:pt>
                <c:pt idx="157">
                  <c:v>1.77</c:v>
                </c:pt>
                <c:pt idx="160">
                  <c:v>3.89</c:v>
                </c:pt>
                <c:pt idx="164">
                  <c:v>1.85</c:v>
                </c:pt>
                <c:pt idx="167">
                  <c:v>1.81</c:v>
                </c:pt>
                <c:pt idx="171">
                  <c:v>0.48</c:v>
                </c:pt>
                <c:pt idx="175">
                  <c:v>1.32</c:v>
                </c:pt>
                <c:pt idx="178">
                  <c:v>0.68</c:v>
                </c:pt>
                <c:pt idx="181">
                  <c:v>1.1299999999999999</c:v>
                </c:pt>
                <c:pt idx="185">
                  <c:v>1.75</c:v>
                </c:pt>
                <c:pt idx="189">
                  <c:v>2.19</c:v>
                </c:pt>
                <c:pt idx="192">
                  <c:v>1.2</c:v>
                </c:pt>
                <c:pt idx="195">
                  <c:v>0.94</c:v>
                </c:pt>
                <c:pt idx="196">
                  <c:v>2.4300000000000002</c:v>
                </c:pt>
                <c:pt idx="197">
                  <c:v>1.56</c:v>
                </c:pt>
                <c:pt idx="198">
                  <c:v>1.95</c:v>
                </c:pt>
                <c:pt idx="200">
                  <c:v>0.28000000000000003</c:v>
                </c:pt>
                <c:pt idx="203">
                  <c:v>0.46</c:v>
                </c:pt>
                <c:pt idx="207">
                  <c:v>1.65</c:v>
                </c:pt>
                <c:pt idx="210">
                  <c:v>0.76</c:v>
                </c:pt>
                <c:pt idx="214">
                  <c:v>1.0900000000000001</c:v>
                </c:pt>
                <c:pt idx="218">
                  <c:v>5.58</c:v>
                </c:pt>
                <c:pt idx="221">
                  <c:v>2.19</c:v>
                </c:pt>
                <c:pt idx="225">
                  <c:v>0.46</c:v>
                </c:pt>
                <c:pt idx="228">
                  <c:v>4.3899999999999997</c:v>
                </c:pt>
                <c:pt idx="232">
                  <c:v>5.57</c:v>
                </c:pt>
                <c:pt idx="233">
                  <c:v>1.73</c:v>
                </c:pt>
                <c:pt idx="234">
                  <c:v>1.8</c:v>
                </c:pt>
                <c:pt idx="235">
                  <c:v>0.79</c:v>
                </c:pt>
                <c:pt idx="236">
                  <c:v>2.16</c:v>
                </c:pt>
                <c:pt idx="239">
                  <c:v>1.29</c:v>
                </c:pt>
                <c:pt idx="243">
                  <c:v>1.04</c:v>
                </c:pt>
                <c:pt idx="247">
                  <c:v>1.1599999999999999</c:v>
                </c:pt>
                <c:pt idx="250">
                  <c:v>3.5</c:v>
                </c:pt>
                <c:pt idx="252">
                  <c:v>2.1</c:v>
                </c:pt>
                <c:pt idx="253">
                  <c:v>0.51</c:v>
                </c:pt>
                <c:pt idx="255">
                  <c:v>1.42</c:v>
                </c:pt>
                <c:pt idx="257">
                  <c:v>0.66</c:v>
                </c:pt>
                <c:pt idx="258">
                  <c:v>3.3</c:v>
                </c:pt>
                <c:pt idx="259">
                  <c:v>2.95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85-4A4F-906B-D782BDF1A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8044623"/>
        <c:axId val="1028346191"/>
      </c:scatterChart>
      <c:scatterChart>
        <c:scatterStyle val="lineMarker"/>
        <c:varyColors val="0"/>
        <c:ser>
          <c:idx val="1"/>
          <c:order val="1"/>
          <c:tx>
            <c:v>Csg def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'LCa-3159 '!$A$104:$A$363</c:f>
              <c:numCache>
                <c:formatCode>0.00</c:formatCode>
                <c:ptCount val="260"/>
                <c:pt idx="0">
                  <c:v>2880.74</c:v>
                </c:pt>
                <c:pt idx="1">
                  <c:v>2885.2</c:v>
                </c:pt>
                <c:pt idx="2">
                  <c:v>2897.7</c:v>
                </c:pt>
                <c:pt idx="3">
                  <c:v>2909.88</c:v>
                </c:pt>
                <c:pt idx="4" formatCode="General">
                  <c:v>2910.2</c:v>
                </c:pt>
                <c:pt idx="5" formatCode="General">
                  <c:v>2922.7</c:v>
                </c:pt>
                <c:pt idx="6">
                  <c:v>2927.2</c:v>
                </c:pt>
                <c:pt idx="7" formatCode="General">
                  <c:v>2935.2</c:v>
                </c:pt>
                <c:pt idx="8">
                  <c:v>2939.01</c:v>
                </c:pt>
                <c:pt idx="9" formatCode="General">
                  <c:v>2947.7</c:v>
                </c:pt>
                <c:pt idx="10" formatCode="General">
                  <c:v>2960.2</c:v>
                </c:pt>
                <c:pt idx="11">
                  <c:v>2968.16</c:v>
                </c:pt>
                <c:pt idx="12">
                  <c:v>2972.7</c:v>
                </c:pt>
                <c:pt idx="13" formatCode="General">
                  <c:v>2985.2</c:v>
                </c:pt>
                <c:pt idx="14">
                  <c:v>2997.28</c:v>
                </c:pt>
                <c:pt idx="15" formatCode="General">
                  <c:v>2997.7</c:v>
                </c:pt>
                <c:pt idx="16" formatCode="General">
                  <c:v>3010.2</c:v>
                </c:pt>
                <c:pt idx="17">
                  <c:v>3022.7</c:v>
                </c:pt>
                <c:pt idx="18">
                  <c:v>3026.48</c:v>
                </c:pt>
                <c:pt idx="19" formatCode="General">
                  <c:v>3027.7</c:v>
                </c:pt>
                <c:pt idx="20">
                  <c:v>3055.7</c:v>
                </c:pt>
                <c:pt idx="21">
                  <c:v>3084.97</c:v>
                </c:pt>
                <c:pt idx="22">
                  <c:v>3107.03</c:v>
                </c:pt>
                <c:pt idx="23">
                  <c:v>3126.76</c:v>
                </c:pt>
                <c:pt idx="24">
                  <c:v>3154.93</c:v>
                </c:pt>
                <c:pt idx="25">
                  <c:v>3184.21</c:v>
                </c:pt>
                <c:pt idx="26" formatCode="General">
                  <c:v>3205</c:v>
                </c:pt>
                <c:pt idx="27" formatCode="General">
                  <c:v>3212.5</c:v>
                </c:pt>
                <c:pt idx="28">
                  <c:v>3213.31</c:v>
                </c:pt>
                <c:pt idx="29">
                  <c:v>3225</c:v>
                </c:pt>
                <c:pt idx="30" formatCode="General">
                  <c:v>3237.5</c:v>
                </c:pt>
                <c:pt idx="31">
                  <c:v>3242.25</c:v>
                </c:pt>
                <c:pt idx="32" formatCode="General">
                  <c:v>3250</c:v>
                </c:pt>
                <c:pt idx="33" formatCode="General">
                  <c:v>3262.5</c:v>
                </c:pt>
                <c:pt idx="34">
                  <c:v>3271.08</c:v>
                </c:pt>
                <c:pt idx="35">
                  <c:v>3275</c:v>
                </c:pt>
                <c:pt idx="36" formatCode="General">
                  <c:v>3287.5</c:v>
                </c:pt>
                <c:pt idx="37" formatCode="General">
                  <c:v>3300</c:v>
                </c:pt>
                <c:pt idx="38">
                  <c:v>3300.2</c:v>
                </c:pt>
                <c:pt idx="39" formatCode="General">
                  <c:v>3305</c:v>
                </c:pt>
                <c:pt idx="40">
                  <c:v>3312.5</c:v>
                </c:pt>
                <c:pt idx="41" formatCode="General">
                  <c:v>3325</c:v>
                </c:pt>
                <c:pt idx="42">
                  <c:v>3329.22</c:v>
                </c:pt>
                <c:pt idx="43" formatCode="General">
                  <c:v>3337.5</c:v>
                </c:pt>
                <c:pt idx="44" formatCode="General">
                  <c:v>3350</c:v>
                </c:pt>
                <c:pt idx="45">
                  <c:v>3358.12</c:v>
                </c:pt>
                <c:pt idx="46">
                  <c:v>3362.5</c:v>
                </c:pt>
                <c:pt idx="47" formatCode="General">
                  <c:v>3375</c:v>
                </c:pt>
                <c:pt idx="48">
                  <c:v>3387.09</c:v>
                </c:pt>
                <c:pt idx="49" formatCode="General">
                  <c:v>3387.5</c:v>
                </c:pt>
                <c:pt idx="50">
                  <c:v>3400</c:v>
                </c:pt>
                <c:pt idx="51" formatCode="General">
                  <c:v>3405</c:v>
                </c:pt>
                <c:pt idx="52">
                  <c:v>3416.2</c:v>
                </c:pt>
                <c:pt idx="53">
                  <c:v>3444.81</c:v>
                </c:pt>
                <c:pt idx="54" formatCode="General">
                  <c:v>3459</c:v>
                </c:pt>
                <c:pt idx="55">
                  <c:v>3466.5</c:v>
                </c:pt>
                <c:pt idx="56">
                  <c:v>3474.08</c:v>
                </c:pt>
                <c:pt idx="57">
                  <c:v>3479</c:v>
                </c:pt>
                <c:pt idx="58">
                  <c:v>3491.5</c:v>
                </c:pt>
                <c:pt idx="59">
                  <c:v>3503.02</c:v>
                </c:pt>
                <c:pt idx="60" formatCode="General">
                  <c:v>3504</c:v>
                </c:pt>
                <c:pt idx="61" formatCode="General">
                  <c:v>3516.5</c:v>
                </c:pt>
                <c:pt idx="62">
                  <c:v>3529</c:v>
                </c:pt>
                <c:pt idx="63">
                  <c:v>3532.14</c:v>
                </c:pt>
                <c:pt idx="64" formatCode="General">
                  <c:v>3541.5</c:v>
                </c:pt>
                <c:pt idx="65" formatCode="General">
                  <c:v>3554</c:v>
                </c:pt>
                <c:pt idx="66">
                  <c:v>3559</c:v>
                </c:pt>
                <c:pt idx="67">
                  <c:v>3561.06</c:v>
                </c:pt>
                <c:pt idx="68" formatCode="General">
                  <c:v>3566.5</c:v>
                </c:pt>
                <c:pt idx="69" formatCode="General">
                  <c:v>3579</c:v>
                </c:pt>
                <c:pt idx="70">
                  <c:v>3590.09</c:v>
                </c:pt>
                <c:pt idx="71" formatCode="General">
                  <c:v>3591.5</c:v>
                </c:pt>
                <c:pt idx="72">
                  <c:v>3604</c:v>
                </c:pt>
                <c:pt idx="73" formatCode="General">
                  <c:v>3616.5</c:v>
                </c:pt>
                <c:pt idx="74">
                  <c:v>3619.2</c:v>
                </c:pt>
                <c:pt idx="75" formatCode="General">
                  <c:v>3629</c:v>
                </c:pt>
                <c:pt idx="76" formatCode="General">
                  <c:v>3641.5</c:v>
                </c:pt>
                <c:pt idx="77">
                  <c:v>3648.08</c:v>
                </c:pt>
                <c:pt idx="78">
                  <c:v>3654</c:v>
                </c:pt>
                <c:pt idx="79" formatCode="General">
                  <c:v>3659</c:v>
                </c:pt>
                <c:pt idx="80" formatCode="General">
                  <c:v>3666.5</c:v>
                </c:pt>
                <c:pt idx="81">
                  <c:v>3677.05</c:v>
                </c:pt>
                <c:pt idx="82">
                  <c:v>3679</c:v>
                </c:pt>
                <c:pt idx="83" formatCode="General">
                  <c:v>3691.5</c:v>
                </c:pt>
                <c:pt idx="84" formatCode="General">
                  <c:v>3704</c:v>
                </c:pt>
                <c:pt idx="85">
                  <c:v>3706.03</c:v>
                </c:pt>
                <c:pt idx="86" formatCode="General">
                  <c:v>3709</c:v>
                </c:pt>
                <c:pt idx="87">
                  <c:v>3728.95</c:v>
                </c:pt>
                <c:pt idx="88">
                  <c:v>3758.4</c:v>
                </c:pt>
                <c:pt idx="89">
                  <c:v>3787.61</c:v>
                </c:pt>
                <c:pt idx="90">
                  <c:v>3816.51</c:v>
                </c:pt>
                <c:pt idx="91">
                  <c:v>3845.51</c:v>
                </c:pt>
                <c:pt idx="92">
                  <c:v>3862.9</c:v>
                </c:pt>
                <c:pt idx="93" formatCode="General">
                  <c:v>3870.4</c:v>
                </c:pt>
                <c:pt idx="94">
                  <c:v>3874.44</c:v>
                </c:pt>
                <c:pt idx="95" formatCode="General">
                  <c:v>3882.9</c:v>
                </c:pt>
                <c:pt idx="96">
                  <c:v>3895.4</c:v>
                </c:pt>
                <c:pt idx="97">
                  <c:v>3903.64</c:v>
                </c:pt>
                <c:pt idx="98" formatCode="General">
                  <c:v>3907.9</c:v>
                </c:pt>
                <c:pt idx="99" formatCode="General">
                  <c:v>3912.9</c:v>
                </c:pt>
                <c:pt idx="100" formatCode="General">
                  <c:v>3920.4</c:v>
                </c:pt>
                <c:pt idx="101">
                  <c:v>3932.38</c:v>
                </c:pt>
                <c:pt idx="102">
                  <c:v>3932.9</c:v>
                </c:pt>
                <c:pt idx="103" formatCode="General">
                  <c:v>3945.4</c:v>
                </c:pt>
                <c:pt idx="104" formatCode="General">
                  <c:v>3957.9</c:v>
                </c:pt>
                <c:pt idx="105">
                  <c:v>3961.19</c:v>
                </c:pt>
                <c:pt idx="106">
                  <c:v>3962.9</c:v>
                </c:pt>
                <c:pt idx="107" formatCode="General">
                  <c:v>3970.4</c:v>
                </c:pt>
                <c:pt idx="108" formatCode="General">
                  <c:v>3982.9</c:v>
                </c:pt>
                <c:pt idx="109">
                  <c:v>3990.21</c:v>
                </c:pt>
                <c:pt idx="110" formatCode="General">
                  <c:v>3995.4</c:v>
                </c:pt>
                <c:pt idx="111">
                  <c:v>4007.9</c:v>
                </c:pt>
                <c:pt idx="112" formatCode="General">
                  <c:v>4012.9</c:v>
                </c:pt>
                <c:pt idx="113">
                  <c:v>4019.24</c:v>
                </c:pt>
                <c:pt idx="114" formatCode="General">
                  <c:v>4020.4</c:v>
                </c:pt>
                <c:pt idx="115">
                  <c:v>4032.9</c:v>
                </c:pt>
                <c:pt idx="116" formatCode="General">
                  <c:v>4045.4</c:v>
                </c:pt>
                <c:pt idx="117">
                  <c:v>4048.23</c:v>
                </c:pt>
                <c:pt idx="118" formatCode="General">
                  <c:v>4057.9</c:v>
                </c:pt>
                <c:pt idx="119" formatCode="General">
                  <c:v>4062.9</c:v>
                </c:pt>
                <c:pt idx="120">
                  <c:v>4070.4</c:v>
                </c:pt>
                <c:pt idx="121">
                  <c:v>4077.24</c:v>
                </c:pt>
                <c:pt idx="122" formatCode="General">
                  <c:v>4082.9</c:v>
                </c:pt>
                <c:pt idx="123" formatCode="General">
                  <c:v>4095.4</c:v>
                </c:pt>
                <c:pt idx="124">
                  <c:v>4106.13</c:v>
                </c:pt>
                <c:pt idx="125" formatCode="General">
                  <c:v>4107.8999999999996</c:v>
                </c:pt>
                <c:pt idx="126">
                  <c:v>4112.8999999999996</c:v>
                </c:pt>
                <c:pt idx="127">
                  <c:v>4135.3</c:v>
                </c:pt>
                <c:pt idx="128">
                  <c:v>4164.16</c:v>
                </c:pt>
                <c:pt idx="129">
                  <c:v>4193.21</c:v>
                </c:pt>
                <c:pt idx="130" formatCode="General">
                  <c:v>4208.3</c:v>
                </c:pt>
                <c:pt idx="131" formatCode="General">
                  <c:v>4215.8</c:v>
                </c:pt>
                <c:pt idx="132">
                  <c:v>4221.84</c:v>
                </c:pt>
                <c:pt idx="133">
                  <c:v>4228.3</c:v>
                </c:pt>
                <c:pt idx="134" formatCode="General">
                  <c:v>4240.8</c:v>
                </c:pt>
                <c:pt idx="135">
                  <c:v>4250.54</c:v>
                </c:pt>
                <c:pt idx="136" formatCode="General">
                  <c:v>4253.3</c:v>
                </c:pt>
                <c:pt idx="137">
                  <c:v>4265.8</c:v>
                </c:pt>
                <c:pt idx="138" formatCode="General">
                  <c:v>4278.3</c:v>
                </c:pt>
                <c:pt idx="139">
                  <c:v>4279.54</c:v>
                </c:pt>
                <c:pt idx="140" formatCode="General">
                  <c:v>4290.8</c:v>
                </c:pt>
                <c:pt idx="141" formatCode="General">
                  <c:v>4303.3</c:v>
                </c:pt>
                <c:pt idx="142">
                  <c:v>4308.3</c:v>
                </c:pt>
                <c:pt idx="143">
                  <c:v>4308.3900000000003</c:v>
                </c:pt>
                <c:pt idx="144" formatCode="General">
                  <c:v>4315.8</c:v>
                </c:pt>
                <c:pt idx="145" formatCode="General">
                  <c:v>4328.3</c:v>
                </c:pt>
                <c:pt idx="146">
                  <c:v>4337.3</c:v>
                </c:pt>
                <c:pt idx="147" formatCode="General">
                  <c:v>4340.8</c:v>
                </c:pt>
                <c:pt idx="148">
                  <c:v>4353.3</c:v>
                </c:pt>
                <c:pt idx="149" formatCode="General">
                  <c:v>4365.8</c:v>
                </c:pt>
                <c:pt idx="150">
                  <c:v>4366.2</c:v>
                </c:pt>
                <c:pt idx="151" formatCode="General">
                  <c:v>4378.3</c:v>
                </c:pt>
                <c:pt idx="152">
                  <c:v>4390.8</c:v>
                </c:pt>
                <c:pt idx="153">
                  <c:v>4395.0600000000004</c:v>
                </c:pt>
                <c:pt idx="154" formatCode="General">
                  <c:v>4403.3</c:v>
                </c:pt>
                <c:pt idx="155" formatCode="General">
                  <c:v>4408.3</c:v>
                </c:pt>
                <c:pt idx="156">
                  <c:v>4415.8</c:v>
                </c:pt>
                <c:pt idx="157">
                  <c:v>4422.55</c:v>
                </c:pt>
                <c:pt idx="158">
                  <c:v>4428.3</c:v>
                </c:pt>
                <c:pt idx="159">
                  <c:v>4440.8</c:v>
                </c:pt>
                <c:pt idx="160">
                  <c:v>4450.58</c:v>
                </c:pt>
                <c:pt idx="161">
                  <c:v>4453.3</c:v>
                </c:pt>
                <c:pt idx="162" formatCode="General">
                  <c:v>4465.8</c:v>
                </c:pt>
                <c:pt idx="163">
                  <c:v>4478.3</c:v>
                </c:pt>
                <c:pt idx="164">
                  <c:v>4479.54</c:v>
                </c:pt>
                <c:pt idx="165" formatCode="General">
                  <c:v>4490.8</c:v>
                </c:pt>
                <c:pt idx="166" formatCode="General">
                  <c:v>4503.3</c:v>
                </c:pt>
                <c:pt idx="167">
                  <c:v>4508.28</c:v>
                </c:pt>
                <c:pt idx="168">
                  <c:v>4508.3</c:v>
                </c:pt>
                <c:pt idx="169" formatCode="General">
                  <c:v>4515.8</c:v>
                </c:pt>
                <c:pt idx="170" formatCode="General">
                  <c:v>4528.3</c:v>
                </c:pt>
                <c:pt idx="171">
                  <c:v>4537.1400000000003</c:v>
                </c:pt>
                <c:pt idx="172" formatCode="General">
                  <c:v>4540.8</c:v>
                </c:pt>
                <c:pt idx="173">
                  <c:v>4553.3</c:v>
                </c:pt>
                <c:pt idx="174" formatCode="General">
                  <c:v>4565.8</c:v>
                </c:pt>
                <c:pt idx="175">
                  <c:v>4565.9399999999996</c:v>
                </c:pt>
                <c:pt idx="176" formatCode="General">
                  <c:v>4578.3</c:v>
                </c:pt>
                <c:pt idx="177">
                  <c:v>4590.8</c:v>
                </c:pt>
                <c:pt idx="178">
                  <c:v>4595.1499999999996</c:v>
                </c:pt>
                <c:pt idx="179" formatCode="General">
                  <c:v>4603.3</c:v>
                </c:pt>
                <c:pt idx="180" formatCode="General">
                  <c:v>4608.3</c:v>
                </c:pt>
                <c:pt idx="181">
                  <c:v>4624.01</c:v>
                </c:pt>
                <c:pt idx="182" formatCode="General">
                  <c:v>4624.3</c:v>
                </c:pt>
                <c:pt idx="183">
                  <c:v>4631.8</c:v>
                </c:pt>
                <c:pt idx="184" formatCode="General">
                  <c:v>4644.3</c:v>
                </c:pt>
                <c:pt idx="185">
                  <c:v>4652.8999999999996</c:v>
                </c:pt>
                <c:pt idx="186" formatCode="General">
                  <c:v>4656.8</c:v>
                </c:pt>
                <c:pt idx="187" formatCode="General">
                  <c:v>4669.3</c:v>
                </c:pt>
                <c:pt idx="188">
                  <c:v>4681.8</c:v>
                </c:pt>
                <c:pt idx="189">
                  <c:v>4681.88</c:v>
                </c:pt>
                <c:pt idx="190" formatCode="General">
                  <c:v>4694.3</c:v>
                </c:pt>
                <c:pt idx="191" formatCode="General">
                  <c:v>4706.8</c:v>
                </c:pt>
                <c:pt idx="192">
                  <c:v>4710.72</c:v>
                </c:pt>
                <c:pt idx="193">
                  <c:v>4719.3</c:v>
                </c:pt>
                <c:pt idx="194" formatCode="General">
                  <c:v>4724.3</c:v>
                </c:pt>
                <c:pt idx="195">
                  <c:v>4739.87</c:v>
                </c:pt>
                <c:pt idx="196">
                  <c:v>4768.9799999999996</c:v>
                </c:pt>
                <c:pt idx="197">
                  <c:v>4797.76</c:v>
                </c:pt>
                <c:pt idx="198">
                  <c:v>4826.84</c:v>
                </c:pt>
                <c:pt idx="199" formatCode="General">
                  <c:v>4854.8999999999996</c:v>
                </c:pt>
                <c:pt idx="200">
                  <c:v>4855.8500000000004</c:v>
                </c:pt>
                <c:pt idx="201" formatCode="General">
                  <c:v>4862.3999999999996</c:v>
                </c:pt>
                <c:pt idx="202">
                  <c:v>4874.8999999999996</c:v>
                </c:pt>
                <c:pt idx="203">
                  <c:v>4885.0200000000004</c:v>
                </c:pt>
                <c:pt idx="204" formatCode="General">
                  <c:v>4887.3999999999996</c:v>
                </c:pt>
                <c:pt idx="205" formatCode="General">
                  <c:v>4899.8999999999996</c:v>
                </c:pt>
                <c:pt idx="206">
                  <c:v>4912.3999999999996</c:v>
                </c:pt>
                <c:pt idx="207">
                  <c:v>4913.55</c:v>
                </c:pt>
                <c:pt idx="208" formatCode="General">
                  <c:v>4924.8999999999996</c:v>
                </c:pt>
                <c:pt idx="209" formatCode="General">
                  <c:v>4937.3999999999996</c:v>
                </c:pt>
                <c:pt idx="210">
                  <c:v>4942.6400000000003</c:v>
                </c:pt>
                <c:pt idx="211" formatCode="General">
                  <c:v>4949.8999999999996</c:v>
                </c:pt>
                <c:pt idx="212">
                  <c:v>4954.8999999999996</c:v>
                </c:pt>
                <c:pt idx="213">
                  <c:v>4962.3999999999996</c:v>
                </c:pt>
                <c:pt idx="214">
                  <c:v>4971.1099999999997</c:v>
                </c:pt>
                <c:pt idx="215">
                  <c:v>4974.8999999999996</c:v>
                </c:pt>
                <c:pt idx="216">
                  <c:v>4987.3999999999996</c:v>
                </c:pt>
                <c:pt idx="217">
                  <c:v>4999.8999999999996</c:v>
                </c:pt>
                <c:pt idx="218">
                  <c:v>5000.5200000000004</c:v>
                </c:pt>
                <c:pt idx="219" formatCode="General">
                  <c:v>5012.3999999999996</c:v>
                </c:pt>
                <c:pt idx="220" formatCode="General">
                  <c:v>5024.8999999999996</c:v>
                </c:pt>
                <c:pt idx="221">
                  <c:v>5029.5200000000004</c:v>
                </c:pt>
                <c:pt idx="222">
                  <c:v>5037.3999999999996</c:v>
                </c:pt>
                <c:pt idx="223" formatCode="General">
                  <c:v>5049.8999999999996</c:v>
                </c:pt>
                <c:pt idx="224" formatCode="General">
                  <c:v>5054.8999999999996</c:v>
                </c:pt>
                <c:pt idx="225">
                  <c:v>5057.6499999999996</c:v>
                </c:pt>
                <c:pt idx="226" formatCode="General">
                  <c:v>5062.3999999999996</c:v>
                </c:pt>
                <c:pt idx="227">
                  <c:v>5074.8999999999996</c:v>
                </c:pt>
                <c:pt idx="228">
                  <c:v>5085.29</c:v>
                </c:pt>
                <c:pt idx="229" formatCode="General">
                  <c:v>5087.3999999999996</c:v>
                </c:pt>
                <c:pt idx="230" formatCode="General">
                  <c:v>5099.8999999999996</c:v>
                </c:pt>
                <c:pt idx="231" formatCode="General">
                  <c:v>5104.8999999999996</c:v>
                </c:pt>
                <c:pt idx="232">
                  <c:v>5114.55</c:v>
                </c:pt>
                <c:pt idx="233">
                  <c:v>5143.82</c:v>
                </c:pt>
                <c:pt idx="234">
                  <c:v>5172.68</c:v>
                </c:pt>
                <c:pt idx="235">
                  <c:v>5201.7</c:v>
                </c:pt>
                <c:pt idx="236">
                  <c:v>5230.72</c:v>
                </c:pt>
                <c:pt idx="237">
                  <c:v>5241.3</c:v>
                </c:pt>
                <c:pt idx="238" formatCode="General">
                  <c:v>5248.8</c:v>
                </c:pt>
                <c:pt idx="239">
                  <c:v>5259.84</c:v>
                </c:pt>
                <c:pt idx="240" formatCode="General">
                  <c:v>5261.3</c:v>
                </c:pt>
                <c:pt idx="241">
                  <c:v>5273.8</c:v>
                </c:pt>
                <c:pt idx="242" formatCode="General">
                  <c:v>5286.3</c:v>
                </c:pt>
                <c:pt idx="243">
                  <c:v>5289.38</c:v>
                </c:pt>
                <c:pt idx="244">
                  <c:v>5291.3</c:v>
                </c:pt>
                <c:pt idx="245">
                  <c:v>5311.3</c:v>
                </c:pt>
                <c:pt idx="246" formatCode="General">
                  <c:v>5318.8</c:v>
                </c:pt>
                <c:pt idx="247">
                  <c:v>5318.84</c:v>
                </c:pt>
                <c:pt idx="248">
                  <c:v>5331.3</c:v>
                </c:pt>
                <c:pt idx="249" formatCode="General">
                  <c:v>5343.8</c:v>
                </c:pt>
                <c:pt idx="250">
                  <c:v>5348.37</c:v>
                </c:pt>
                <c:pt idx="251">
                  <c:v>5356.3</c:v>
                </c:pt>
                <c:pt idx="252">
                  <c:v>5377.69</c:v>
                </c:pt>
                <c:pt idx="253">
                  <c:v>5406.98</c:v>
                </c:pt>
                <c:pt idx="254">
                  <c:v>5428</c:v>
                </c:pt>
                <c:pt idx="255">
                  <c:v>5436.05</c:v>
                </c:pt>
                <c:pt idx="256">
                  <c:v>5438.8</c:v>
                </c:pt>
                <c:pt idx="257">
                  <c:v>5465.05</c:v>
                </c:pt>
                <c:pt idx="258">
                  <c:v>5493.82</c:v>
                </c:pt>
                <c:pt idx="259">
                  <c:v>5501.88</c:v>
                </c:pt>
              </c:numCache>
            </c:numRef>
          </c:xVal>
          <c:yVal>
            <c:numRef>
              <c:f>'LCa-3159 '!$Y$104:$Y$364</c:f>
              <c:numCache>
                <c:formatCode>0.00</c:formatCode>
                <c:ptCount val="2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</c:v>
                </c:pt>
                <c:pt idx="245">
                  <c:v>1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85-4A4F-906B-D782BDF1A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6095343"/>
        <c:axId val="1056180751"/>
      </c:scatterChart>
      <c:valAx>
        <c:axId val="1028044623"/>
        <c:scaling>
          <c:orientation val="minMax"/>
          <c:min val="29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MD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O"/>
          </a:p>
        </c:txPr>
        <c:crossAx val="1028346191"/>
        <c:crosses val="autoZero"/>
        <c:crossBetween val="midCat"/>
      </c:valAx>
      <c:valAx>
        <c:axId val="1028346191"/>
        <c:scaling>
          <c:orientation val="minMax"/>
          <c:min val="2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DLS (deg/30m)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O"/>
          </a:p>
        </c:txPr>
        <c:crossAx val="1028044623"/>
        <c:crosses val="autoZero"/>
        <c:crossBetween val="midCat"/>
      </c:valAx>
      <c:valAx>
        <c:axId val="1056180751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Csg flag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O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O"/>
          </a:p>
        </c:txPr>
        <c:crossAx val="1056095343"/>
        <c:crosses val="max"/>
        <c:crossBetween val="midCat"/>
      </c:valAx>
      <c:valAx>
        <c:axId val="1056095343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0561807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O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FBA781E-74FB-B146-9920-9653CFAC502F}">
  <sheetPr/>
  <sheetViews>
    <sheetView zoomScale="18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8E5A72A-B7EB-414E-A734-1BBE9540B755}">
  <sheetPr/>
  <sheetViews>
    <sheetView zoomScale="18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E52E02B-98B9-7041-9E17-993F3FC8750D}">
  <sheetPr/>
  <sheetViews>
    <sheetView zoomScale="185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40CC93-DDD0-FE41-8069-01E5CCAF2976}">
  <sheetPr/>
  <sheetViews>
    <sheetView zoomScale="185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A49C503-040B-F043-8C31-4E316A945208}">
  <sheetPr/>
  <sheetViews>
    <sheetView zoomScale="185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8C80D35-B8A0-CC4E-B7C3-A4CD8E388D8A}">
  <sheetPr/>
  <sheetViews>
    <sheetView zoomScale="18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5622" cy="60754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24C86B-3141-B3AB-DBD8-DC30122B0D7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0994" cy="60763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9D81AF-9749-46B4-5FC7-55D816CB658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15622" cy="60754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F53752-22C3-F7DD-DE0E-8995C5DB948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15622" cy="60754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1CCE08-AE69-77D4-E257-CF7D17CD4BB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15622" cy="60754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DC1068-1C0A-CF7E-F7AB-C832CC8E456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15622" cy="60754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9BC3A12-56F1-BE72-D9F8-77E5FBAC4CD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uan Manuel Montoza" id="{8AFCF11B-006B-C245-8E90-2B8F1FFF9C6B}" userId="S::juan.montoza@three60energy.com::446ec418-555d-4475-a62c-89ee1e92766e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3971EBF-8D60-2A4A-A9A1-6E619C455B84}" name="Table248" displayName="Table248" ref="A1:AC366" totalsRowCount="1" headerRowDxfId="76" dataDxfId="75" totalsRowDxfId="73" tableBorderDxfId="74">
  <autoFilter ref="A1:AC365" xr:uid="{00C609CA-FBF4-4342-884B-5C7A995D0F8E}"/>
  <sortState xmlns:xlrd2="http://schemas.microsoft.com/office/spreadsheetml/2017/richdata2" ref="A2:AA365">
    <sortCondition ref="A107:A365"/>
  </sortState>
  <tableColumns count="29">
    <tableColumn id="1" xr3:uid="{A4EFFB98-FA3B-AF46-ADC4-A7B0858C6FBD}" name="MD_x000a_(m)" dataDxfId="72" totalsRowDxfId="71" dataCellStyle="Normal 2"/>
    <tableColumn id="2" xr3:uid="{5E8B9DBE-7F0D-6C44-A64E-772230CA918E}" name="TVD_x000a_(m)" dataDxfId="70" totalsRowDxfId="69"/>
    <tableColumn id="3" xr3:uid="{49816406-0C93-BC4B-ACC9-5B7597BCF0F5}" name="Inclination_x000a_(deg)" dataDxfId="68" totalsRowDxfId="67" dataCellStyle="Normal 2"/>
    <tableColumn id="4" xr3:uid="{430CA889-46D7-2F40-8C18-FC04218C770E}" name="Azimuth_x000a_(deg)" dataDxfId="66" totalsRowDxfId="65" dataCellStyle="Normal 2"/>
    <tableColumn id="5" xr3:uid="{74AECD16-4076-3B4A-9F90-27664B769CAC}" name="DLS_x000a_(deg/30m)" dataDxfId="64" totalsRowDxfId="63" dataCellStyle="Normal 2"/>
    <tableColumn id="24" xr3:uid="{F36917B7-719D-1941-A5E0-1B8A0B13D7E1}" name="North" dataDxfId="62" totalsRowDxfId="61" dataCellStyle="Normal 2"/>
    <tableColumn id="23" xr3:uid="{5ED3DBD7-B7B3-1C44-BC19-7D562875F4EC}" name="East" dataDxfId="60" totalsRowDxfId="59" dataCellStyle="Normal 2"/>
    <tableColumn id="22" xr3:uid="{CB49B64F-B2EC-E243-B434-E31DA14E33C3}" name="Build" dataDxfId="58" totalsRowDxfId="57" dataCellStyle="Normal 2"/>
    <tableColumn id="21" xr3:uid="{E2DA1E83-A122-5D4A-A1C6-B0FC33B74EBA}" name="Turn" dataDxfId="56" totalsRowDxfId="55" dataCellStyle="Normal 2"/>
    <tableColumn id="6" xr3:uid="{22E65BAE-DFFB-F14F-8032-90358B724F7D}" name="MD_x000a_(m)2" dataDxfId="54" totalsRowDxfId="53" dataCellStyle="Normal 2"/>
    <tableColumn id="7" xr3:uid="{86D99F5A-4DC1-EE4F-94C5-71DF1A98A6B1}" name="TVD_x000a_(m)2" dataDxfId="52" totalsRowDxfId="51" dataCellStyle="Normal 2"/>
    <tableColumn id="8" xr3:uid="{656D225D-2D9A-B44C-98AD-557EC41749CB}" name="Inclination_x000a_(deg)2" dataDxfId="50" totalsRowDxfId="49" dataCellStyle="Normal 2"/>
    <tableColumn id="9" xr3:uid="{29127E93-4F98-E644-AAA8-A6D94C6E45D5}" name="Azimuth_x000a_(deg)2" dataDxfId="48" totalsRowDxfId="47" dataCellStyle="Normal 2"/>
    <tableColumn id="10" xr3:uid="{1E8A3153-82EA-044D-8664-E0D26604CB5A}" name="DLS_x000a_(deg/30m)2" dataDxfId="46" totalsRowDxfId="45" dataCellStyle="Normal 2"/>
    <tableColumn id="28" xr3:uid="{A39085E8-D04E-CC41-9DE4-60C9DC82CB50}" name="North2" dataDxfId="44" totalsRowDxfId="43" dataCellStyle="Normal 2"/>
    <tableColumn id="27" xr3:uid="{518F3409-DF74-544D-B90A-D0AE8E6D21C6}" name="East2" dataDxfId="42" totalsRowDxfId="41" dataCellStyle="Normal 2"/>
    <tableColumn id="26" xr3:uid="{351B7DAD-07B0-064E-9458-F30521A2909E}" name="Build2" dataDxfId="40" totalsRowDxfId="39" dataCellStyle="Normal 2"/>
    <tableColumn id="25" xr3:uid="{A77E99FC-6659-6246-A73B-116F2A2B51B4}" name="Turn2" dataDxfId="38" totalsRowDxfId="37" dataCellStyle="Normal 2"/>
    <tableColumn id="11" xr3:uid="{185C56E0-55A9-7F43-A26C-313C41979A86}" name="mTVD_x000a_Lower_x000a_Marker" dataDxfId="36" totalsRowDxfId="35"/>
    <tableColumn id="18" xr3:uid="{6DA90A06-8891-6543-BB09-00ED7E9C9FA7}" name="Delta_x000a_Lower_x000a_(m)" dataDxfId="34" totalsRowDxfId="33"/>
    <tableColumn id="12" xr3:uid="{630B6BED-4923-0648-BE66-B0D1E3341AAD}" name="mTVD_x000a_Upper_x000a_Marker" dataDxfId="32" totalsRowDxfId="31"/>
    <tableColumn id="19" xr3:uid="{07BA8F3B-DEF3-054A-918F-EECC589D78F4}" name="Delta_x000a_Upper_x000a_(m)" dataDxfId="30" totalsRowDxfId="29"/>
    <tableColumn id="13" xr3:uid="{CD48F338-EF32-BA48-AF7D-759906E59636}" name="Stage_x000a_Plug Flag_x000a_(1/0)" dataDxfId="28" totalsRowDxfId="27">
      <calculatedColumnFormula array="1">CheckYellowFill(Table248[[#This Row],[MD
(m)]])</calculatedColumnFormula>
    </tableColumn>
    <tableColumn id="14" xr3:uid="{CE313C5C-2E23-0D4E-B9EA-D04581229661}" name="Perf Cluster_x000a_Flag_x000a_(1/0)" dataDxfId="26" totalsRowDxfId="25">
      <calculatedColumnFormula array="1">isfontcolorred(Table248[[#This Row],[MD
(m)]])</calculatedColumnFormula>
    </tableColumn>
    <tableColumn id="15" xr3:uid="{303D68BA-727B-054F-9F19-61D450EA5C6F}" name="Deformation_x000a_Flag_x000a_(1/0)" dataDxfId="24" totalsRowDxfId="23">
      <calculatedColumnFormula>IF(Table248[[#This Row],[Plug Depth
Plan
(m)]]&lt;&gt;0,1,0)</calculatedColumnFormula>
    </tableColumn>
    <tableColumn id="16" xr3:uid="{0726F70E-5B9C-E043-BAE7-1EDA3D0A9BCA}" name="Plug Depth_x000a_Plan_x000a_(m)" dataDxfId="22" totalsRowDxfId="21"/>
    <tableColumn id="17" xr3:uid="{42BAAF23-8B24-994E-852C-752EAF2180DB}" name="Metres_x000a_Lost_x000a_(m)" dataDxfId="20" totalsRowDxfId="19">
      <calculatedColumnFormula>IF(Table248[[#This Row],[Plug Depth
Plan
(m)]]=0,"",ABS(Table248[[#This Row],[Plug Depth
Plan
(m)]]-Table248[[#This Row],[MD
(m)]]))</calculatedColumnFormula>
    </tableColumn>
    <tableColumn id="20" xr3:uid="{269729DD-DD59-CD47-AFCF-35FFB89B2551}" name="Pf (psi)" dataDxfId="18" totalsRowDxfId="17"/>
    <tableColumn id="29" xr3:uid="{8B179841-69B1-434B-ABBD-5CB50BF72D0A}" name="NF" dataDxfId="16" totalsRowDxfId="1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84C406F-7404-6A44-8AE9-F10D2BE197FA}" name="Table3" displayName="Table3" ref="B2:J198" totalsRowShown="0">
  <autoFilter ref="B2:J198" xr:uid="{584C406F-7404-6A44-8AE9-F10D2BE197FA}"/>
  <tableColumns count="9">
    <tableColumn id="1" xr3:uid="{B27CAD11-6A44-314D-9454-31DF1C7E283D}" name="MD (m)" dataDxfId="14" dataCellStyle="Normal 2"/>
    <tableColumn id="2" xr3:uid="{4DCFBA91-9EE0-9542-AF5A-57465EFF7CD0}" name="TVD (m)" dataDxfId="13"/>
    <tableColumn id="3" xr3:uid="{62BCBAEC-00A0-5E43-9F1E-DC98EDEBC789}" name="Inclination" dataDxfId="12" dataCellStyle="Normal 2"/>
    <tableColumn id="4" xr3:uid="{A5A4121F-A088-894D-9E3E-4EAA9B4D135F}" name="Azimuth" dataDxfId="11" dataCellStyle="Normal 2"/>
    <tableColumn id="5" xr3:uid="{7C7A318E-4974-0E49-B5FD-3B1D740313A4}" name="DLS (deg/30m)" dataDxfId="10" dataCellStyle="Normal 2"/>
    <tableColumn id="6" xr3:uid="{C3E851A7-F584-CF44-B2A1-D6F249E470E3}" name="North"/>
    <tableColumn id="7" xr3:uid="{F8EAF045-5C19-844E-8069-BD73D7CEE29F}" name="East"/>
    <tableColumn id="8" xr3:uid="{1FAD34B5-F453-A246-BC01-8B5E85CFDBE5}" name="Build"/>
    <tableColumn id="9" xr3:uid="{21C5352E-8212-8F43-95B8-50FD616FF1D4}" name="Tur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4CE223-19E7-2644-A8EB-DC430E15246D}" name="Table5" displayName="Table5" ref="B2:J203" totalsRowShown="0" dataDxfId="9" dataCellStyle="Normal 2">
  <autoFilter ref="B2:J203" xr:uid="{DD4CE223-19E7-2644-A8EB-DC430E15246D}"/>
  <tableColumns count="9">
    <tableColumn id="1" xr3:uid="{D23EE0C4-2FAC-6F48-AD13-B52CB7CF3853}" name="MD (m)" dataDxfId="8" dataCellStyle="Normal 2"/>
    <tableColumn id="2" xr3:uid="{76342F5D-F7C7-344F-A7CF-CBA9BF66FE5E}" name="TVD (m)" dataDxfId="7" dataCellStyle="Normal 2"/>
    <tableColumn id="3" xr3:uid="{3F4D05BF-AB7B-7D4C-8D98-2D16E6A44504}" name="Inc" dataDxfId="6" dataCellStyle="Normal 2"/>
    <tableColumn id="4" xr3:uid="{9FE64C48-64F3-284A-B490-7532976A53FE}" name="Azi" dataDxfId="5" dataCellStyle="Normal 2"/>
    <tableColumn id="5" xr3:uid="{E3844096-AEC1-824C-ABBA-F05C1C60F8F6}" name="DLS" dataDxfId="4" dataCellStyle="Normal 2"/>
    <tableColumn id="6" xr3:uid="{59F58FFF-8645-D344-8B69-DD87ED72022D}" name="North" dataDxfId="3" dataCellStyle="Normal 2"/>
    <tableColumn id="7" xr3:uid="{5765B46F-2A63-1546-951E-D4D5CEFAEF08}" name="East" dataDxfId="2" dataCellStyle="Normal 2"/>
    <tableColumn id="8" xr3:uid="{06C52AB6-AF9E-B64A-B755-847B991DF496}" name="Build" dataDxfId="1" dataCellStyle="Normal 2"/>
    <tableColumn id="9" xr3:uid="{4A5E6DBB-DE8D-4840-89AD-4E52FF05F639}" name="Turn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T1" dT="2023-05-29T22:41:59.45" personId="{8AFCF11B-006B-C245-8E90-2B8F1FFF9C6B}" id="{21E58280-3870-5548-86A4-52540E62C898}">
    <text>Actual TVD - Upper marker TVD</text>
  </threadedComment>
  <threadedComment ref="V1" dT="2023-05-29T22:42:13.99" personId="{8AFCF11B-006B-C245-8E90-2B8F1FFF9C6B}" id="{5719AAC7-1D39-6644-A6AC-4EB8CA5CD9ED}">
    <text>Actual TVD - Lower marker TVD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20CF6-0DEB-EB46-98CD-CF2BA12D3722}">
  <sheetPr codeName="Sheet1">
    <tabColor rgb="FF92D050"/>
  </sheetPr>
  <dimension ref="A1:AC366"/>
  <sheetViews>
    <sheetView tabSelected="1" zoomScale="120" zoomScaleNormal="120" workbookViewId="0">
      <pane xSplit="2" ySplit="1" topLeftCell="C2" activePane="bottomRight" state="frozen"/>
      <selection pane="topRight" activeCell="C1" sqref="C1"/>
      <selection pane="bottomLeft" activeCell="A10" sqref="A10"/>
      <selection pane="bottomRight" sqref="A1:XFD1"/>
    </sheetView>
  </sheetViews>
  <sheetFormatPr baseColWidth="10" defaultColWidth="8.83203125" defaultRowHeight="15" x14ac:dyDescent="0.2"/>
  <cols>
    <col min="1" max="2" width="8.6640625" style="28" customWidth="1"/>
    <col min="3" max="5" width="12.6640625" style="28" customWidth="1"/>
    <col min="6" max="6" width="12" style="28" bestFit="1" customWidth="1"/>
    <col min="7" max="7" width="10.33203125" style="28" bestFit="1" customWidth="1"/>
    <col min="8" max="8" width="11.1640625" style="28" bestFit="1" customWidth="1"/>
    <col min="9" max="9" width="10.83203125" style="28" bestFit="1" customWidth="1"/>
    <col min="10" max="11" width="10.6640625" style="28" customWidth="1"/>
    <col min="12" max="12" width="12.6640625" style="28" customWidth="1"/>
    <col min="13" max="13" width="10.6640625" style="28" customWidth="1"/>
    <col min="14" max="14" width="12.6640625" style="28" customWidth="1"/>
    <col min="15" max="15" width="13.1640625" style="28" bestFit="1" customWidth="1"/>
    <col min="16" max="16" width="11.5" style="28" bestFit="1" customWidth="1"/>
    <col min="17" max="17" width="12.33203125" style="28" bestFit="1" customWidth="1"/>
    <col min="18" max="18" width="12" style="28" bestFit="1" customWidth="1"/>
    <col min="19" max="23" width="10.6640625" style="28" customWidth="1"/>
    <col min="24" max="24" width="12.6640625" style="28" customWidth="1"/>
    <col min="25" max="25" width="13.6640625" style="28" customWidth="1"/>
    <col min="26" max="26" width="12.6640625" style="28" customWidth="1"/>
    <col min="27" max="27" width="10" style="28" customWidth="1"/>
    <col min="28" max="16384" width="8.83203125" style="28"/>
  </cols>
  <sheetData>
    <row r="1" spans="1:29" s="35" customFormat="1" ht="61" thickBot="1" x14ac:dyDescent="0.25">
      <c r="A1" s="30" t="s">
        <v>21</v>
      </c>
      <c r="B1" s="31" t="s">
        <v>22</v>
      </c>
      <c r="C1" s="31" t="s">
        <v>23</v>
      </c>
      <c r="D1" s="31" t="s">
        <v>24</v>
      </c>
      <c r="E1" s="32" t="s">
        <v>25</v>
      </c>
      <c r="F1" s="31" t="s">
        <v>40</v>
      </c>
      <c r="G1" s="31" t="s">
        <v>41</v>
      </c>
      <c r="H1" s="31" t="s">
        <v>42</v>
      </c>
      <c r="I1" s="31" t="s">
        <v>43</v>
      </c>
      <c r="J1" s="30" t="s">
        <v>26</v>
      </c>
      <c r="K1" s="31" t="s">
        <v>27</v>
      </c>
      <c r="L1" s="31" t="s">
        <v>28</v>
      </c>
      <c r="M1" s="31" t="s">
        <v>29</v>
      </c>
      <c r="N1" s="32" t="s">
        <v>30</v>
      </c>
      <c r="O1" s="49" t="s">
        <v>44</v>
      </c>
      <c r="P1" s="49" t="s">
        <v>45</v>
      </c>
      <c r="Q1" s="49" t="s">
        <v>46</v>
      </c>
      <c r="R1" s="49" t="s">
        <v>47</v>
      </c>
      <c r="S1" s="33" t="s">
        <v>31</v>
      </c>
      <c r="T1" s="33" t="s">
        <v>32</v>
      </c>
      <c r="U1" s="33" t="s">
        <v>33</v>
      </c>
      <c r="V1" s="33" t="s">
        <v>34</v>
      </c>
      <c r="W1" s="33" t="s">
        <v>36</v>
      </c>
      <c r="X1" s="33" t="s">
        <v>35</v>
      </c>
      <c r="Y1" s="33" t="s">
        <v>37</v>
      </c>
      <c r="Z1" s="33" t="s">
        <v>38</v>
      </c>
      <c r="AA1" s="34" t="s">
        <v>39</v>
      </c>
      <c r="AB1" s="33" t="s">
        <v>48</v>
      </c>
      <c r="AC1" s="33" t="s">
        <v>49</v>
      </c>
    </row>
    <row r="2" spans="1:29" ht="16" thickBot="1" x14ac:dyDescent="0.25">
      <c r="A2" s="2">
        <v>0</v>
      </c>
      <c r="B2" s="1">
        <v>0</v>
      </c>
      <c r="C2" s="2">
        <v>0</v>
      </c>
      <c r="D2" s="2">
        <v>112.26</v>
      </c>
      <c r="E2" s="2">
        <v>0</v>
      </c>
      <c r="F2" s="1">
        <v>0</v>
      </c>
      <c r="G2" s="1">
        <v>0</v>
      </c>
      <c r="H2" s="1">
        <v>0</v>
      </c>
      <c r="I2" s="1">
        <v>0</v>
      </c>
      <c r="J2" s="2">
        <v>0</v>
      </c>
      <c r="K2" s="2">
        <v>0</v>
      </c>
      <c r="L2" s="2">
        <v>0</v>
      </c>
      <c r="M2" s="2">
        <v>112.26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36"/>
      <c r="T2" s="37"/>
      <c r="U2" s="36"/>
      <c r="V2" s="37"/>
      <c r="W2" s="37" cm="1">
        <f t="array" ref="W2">CheckYellowFill(Table248[[#This Row],[MD
(m)]])</f>
        <v>0</v>
      </c>
      <c r="X2" s="37" cm="1">
        <f t="array" ref="X2">isfontcolorred(Table248[[#This Row],[MD
(m)]])</f>
        <v>0</v>
      </c>
      <c r="Y2" s="37">
        <f>IF(Table248[[#This Row],[Plug Depth
Plan
(m)]]&lt;&gt;0,1,0)</f>
        <v>0</v>
      </c>
      <c r="Z2" s="37"/>
      <c r="AA2" s="38" t="str">
        <f>IF(Table248[[#This Row],[Plug Depth
Plan
(m)]]=0,"",ABS(Table248[[#This Row],[Plug Depth
Plan
(m)]]-Table248[[#This Row],[MD
(m)]]))</f>
        <v/>
      </c>
    </row>
    <row r="3" spans="1:29" ht="16" thickBot="1" x14ac:dyDescent="0.25">
      <c r="A3" s="2">
        <v>26</v>
      </c>
      <c r="B3" s="1">
        <v>26</v>
      </c>
      <c r="C3" s="2">
        <v>0.4</v>
      </c>
      <c r="D3" s="2">
        <v>112.26</v>
      </c>
      <c r="E3" s="2">
        <v>0.46</v>
      </c>
      <c r="F3" s="1">
        <v>-0.03</v>
      </c>
      <c r="G3" s="1">
        <v>0.08</v>
      </c>
      <c r="H3" s="1">
        <v>0.46</v>
      </c>
      <c r="I3" s="1">
        <v>0</v>
      </c>
      <c r="J3" s="2">
        <v>26</v>
      </c>
      <c r="K3" s="2">
        <v>26</v>
      </c>
      <c r="L3" s="2">
        <v>0.4</v>
      </c>
      <c r="M3" s="2">
        <v>112.26</v>
      </c>
      <c r="N3" s="2">
        <v>0.46</v>
      </c>
      <c r="O3" s="2">
        <v>-0.03</v>
      </c>
      <c r="P3" s="2">
        <v>0.08</v>
      </c>
      <c r="Q3" s="2">
        <v>0.46</v>
      </c>
      <c r="R3" s="2">
        <v>0</v>
      </c>
      <c r="S3" s="39"/>
      <c r="T3" s="39"/>
      <c r="U3" s="39"/>
      <c r="V3" s="39"/>
      <c r="W3" s="37" cm="1">
        <f t="array" ref="W3">CheckYellowFill(Table248[[#This Row],[MD
(m)]])</f>
        <v>0</v>
      </c>
      <c r="X3" s="39" cm="1">
        <f t="array" ref="X3">isfontcolorred(Table248[[#This Row],[MD
(m)]])</f>
        <v>0</v>
      </c>
      <c r="Y3" s="37">
        <f>IF(Table248[[#This Row],[Plug Depth
Plan
(m)]]&lt;&gt;0,1,0)</f>
        <v>0</v>
      </c>
      <c r="Z3" s="39"/>
      <c r="AA3" s="40" t="str">
        <f>IF(Table248[[#This Row],[Plug Depth
Plan
(m)]]=0,"",ABS(Table248[[#This Row],[Plug Depth
Plan
(m)]]-Table248[[#This Row],[MD
(m)]]))</f>
        <v/>
      </c>
    </row>
    <row r="4" spans="1:29" ht="16" thickBot="1" x14ac:dyDescent="0.25">
      <c r="A4" s="2">
        <v>53.67</v>
      </c>
      <c r="B4" s="1">
        <v>53.67</v>
      </c>
      <c r="C4" s="2">
        <v>0.47</v>
      </c>
      <c r="D4" s="2">
        <v>125.06</v>
      </c>
      <c r="E4" s="2">
        <v>0.13</v>
      </c>
      <c r="F4" s="1">
        <v>-0.14000000000000001</v>
      </c>
      <c r="G4" s="1">
        <v>0.27</v>
      </c>
      <c r="H4" s="1">
        <v>0.08</v>
      </c>
      <c r="I4" s="1">
        <v>13.88</v>
      </c>
      <c r="J4" s="2">
        <v>53.67</v>
      </c>
      <c r="K4" s="2">
        <v>53.67</v>
      </c>
      <c r="L4" s="2">
        <v>0.47</v>
      </c>
      <c r="M4" s="2">
        <v>125.06</v>
      </c>
      <c r="N4" s="2">
        <v>0.13</v>
      </c>
      <c r="O4" s="2">
        <v>-0.14000000000000001</v>
      </c>
      <c r="P4" s="2">
        <v>0.27</v>
      </c>
      <c r="Q4" s="2">
        <v>0.08</v>
      </c>
      <c r="R4" s="2">
        <v>13.88</v>
      </c>
      <c r="S4" s="39"/>
      <c r="T4" s="39"/>
      <c r="U4" s="39"/>
      <c r="V4" s="39"/>
      <c r="W4" s="37" cm="1">
        <f t="array" ref="W4">CheckYellowFill(Table248[[#This Row],[MD
(m)]])</f>
        <v>0</v>
      </c>
      <c r="X4" s="39" cm="1">
        <f t="array" ref="X4">isfontcolorred(Table248[[#This Row],[MD
(m)]])</f>
        <v>0</v>
      </c>
      <c r="Y4" s="37">
        <f>IF(Table248[[#This Row],[Plug Depth
Plan
(m)]]&lt;&gt;0,1,0)</f>
        <v>0</v>
      </c>
      <c r="Z4" s="39"/>
      <c r="AA4" s="40" t="str">
        <f>IF(Table248[[#This Row],[Plug Depth
Plan
(m)]]=0,"",ABS(Table248[[#This Row],[Plug Depth
Plan
(m)]]-Table248[[#This Row],[MD
(m)]]))</f>
        <v/>
      </c>
    </row>
    <row r="5" spans="1:29" ht="16" thickBot="1" x14ac:dyDescent="0.25">
      <c r="A5" s="2">
        <v>81.48</v>
      </c>
      <c r="B5" s="1">
        <v>81.48</v>
      </c>
      <c r="C5" s="2">
        <v>0.5</v>
      </c>
      <c r="D5" s="2">
        <v>123.53</v>
      </c>
      <c r="E5" s="2">
        <v>0.04</v>
      </c>
      <c r="F5" s="1">
        <v>-0.27</v>
      </c>
      <c r="G5" s="1">
        <v>0.46</v>
      </c>
      <c r="H5" s="1">
        <v>0.03</v>
      </c>
      <c r="I5" s="1">
        <v>-1.65</v>
      </c>
      <c r="J5" s="2">
        <v>81.48</v>
      </c>
      <c r="K5" s="2">
        <v>81.48</v>
      </c>
      <c r="L5" s="2">
        <v>0.5</v>
      </c>
      <c r="M5" s="2">
        <v>123.53</v>
      </c>
      <c r="N5" s="2">
        <v>0.04</v>
      </c>
      <c r="O5" s="2">
        <v>-0.27</v>
      </c>
      <c r="P5" s="2">
        <v>0.46</v>
      </c>
      <c r="Q5" s="2">
        <v>0.03</v>
      </c>
      <c r="R5" s="2">
        <v>-1.65</v>
      </c>
      <c r="S5" s="39"/>
      <c r="T5" s="39"/>
      <c r="U5" s="39"/>
      <c r="V5" s="39"/>
      <c r="W5" s="37" cm="1">
        <f t="array" ref="W5">CheckYellowFill(Table248[[#This Row],[MD
(m)]])</f>
        <v>0</v>
      </c>
      <c r="X5" s="39" cm="1">
        <f t="array" ref="X5">isfontcolorred(Table248[[#This Row],[MD
(m)]])</f>
        <v>0</v>
      </c>
      <c r="Y5" s="37">
        <f>IF(Table248[[#This Row],[Plug Depth
Plan
(m)]]&lt;&gt;0,1,0)</f>
        <v>0</v>
      </c>
      <c r="Z5" s="39"/>
      <c r="AA5" s="40" t="str">
        <f>IF(Table248[[#This Row],[Plug Depth
Plan
(m)]]=0,"",ABS(Table248[[#This Row],[Plug Depth
Plan
(m)]]-Table248[[#This Row],[MD
(m)]]))</f>
        <v/>
      </c>
    </row>
    <row r="6" spans="1:29" ht="16" thickBot="1" x14ac:dyDescent="0.25">
      <c r="A6" s="2">
        <v>106.59</v>
      </c>
      <c r="B6" s="1">
        <v>106.59</v>
      </c>
      <c r="C6" s="2">
        <v>0.22</v>
      </c>
      <c r="D6" s="2">
        <v>88.66</v>
      </c>
      <c r="E6" s="2">
        <v>0.41</v>
      </c>
      <c r="F6" s="1">
        <v>-0.33</v>
      </c>
      <c r="G6" s="1">
        <v>0.6</v>
      </c>
      <c r="H6" s="1">
        <v>-0.33</v>
      </c>
      <c r="I6" s="1">
        <v>-41.66</v>
      </c>
      <c r="J6" s="2">
        <v>106.59</v>
      </c>
      <c r="K6" s="2">
        <v>106.59</v>
      </c>
      <c r="L6" s="2">
        <v>0.22</v>
      </c>
      <c r="M6" s="2">
        <v>88.66</v>
      </c>
      <c r="N6" s="2">
        <v>0.41</v>
      </c>
      <c r="O6" s="2">
        <v>-0.33</v>
      </c>
      <c r="P6" s="2">
        <v>0.6</v>
      </c>
      <c r="Q6" s="2">
        <v>-0.33</v>
      </c>
      <c r="R6" s="2">
        <v>-41.66</v>
      </c>
      <c r="S6" s="39"/>
      <c r="T6" s="39"/>
      <c r="U6" s="39"/>
      <c r="V6" s="39"/>
      <c r="W6" s="37" cm="1">
        <f t="array" ref="W6">CheckYellowFill(Table248[[#This Row],[MD
(m)]])</f>
        <v>0</v>
      </c>
      <c r="X6" s="39" cm="1">
        <f t="array" ref="X6">isfontcolorred(Table248[[#This Row],[MD
(m)]])</f>
        <v>0</v>
      </c>
      <c r="Y6" s="37">
        <f>IF(Table248[[#This Row],[Plug Depth
Plan
(m)]]&lt;&gt;0,1,0)</f>
        <v>0</v>
      </c>
      <c r="Z6" s="39"/>
      <c r="AA6" s="40" t="str">
        <f>IF(Table248[[#This Row],[Plug Depth
Plan
(m)]]=0,"",ABS(Table248[[#This Row],[Plug Depth
Plan
(m)]]-Table248[[#This Row],[MD
(m)]]))</f>
        <v/>
      </c>
    </row>
    <row r="7" spans="1:29" ht="16" thickBot="1" x14ac:dyDescent="0.25">
      <c r="A7" s="2">
        <v>134.29</v>
      </c>
      <c r="B7" s="1">
        <v>134.29</v>
      </c>
      <c r="C7" s="2">
        <v>0.11</v>
      </c>
      <c r="D7" s="2">
        <v>117.84</v>
      </c>
      <c r="E7" s="2">
        <v>0.15</v>
      </c>
      <c r="F7" s="1">
        <v>-0.34</v>
      </c>
      <c r="G7" s="1">
        <v>0.68</v>
      </c>
      <c r="H7" s="1">
        <v>-0.12</v>
      </c>
      <c r="I7" s="1">
        <v>31.6</v>
      </c>
      <c r="J7" s="2">
        <v>134.29</v>
      </c>
      <c r="K7" s="2">
        <v>134.29</v>
      </c>
      <c r="L7" s="2">
        <v>0.11</v>
      </c>
      <c r="M7" s="2">
        <v>117.84</v>
      </c>
      <c r="N7" s="2">
        <v>0.15</v>
      </c>
      <c r="O7" s="2">
        <v>-0.34</v>
      </c>
      <c r="P7" s="2">
        <v>0.68</v>
      </c>
      <c r="Q7" s="2">
        <v>-0.12</v>
      </c>
      <c r="R7" s="2">
        <v>31.6</v>
      </c>
      <c r="S7" s="39"/>
      <c r="T7" s="39"/>
      <c r="U7" s="39"/>
      <c r="V7" s="39"/>
      <c r="W7" s="37" cm="1">
        <f t="array" ref="W7">CheckYellowFill(Table248[[#This Row],[MD
(m)]])</f>
        <v>0</v>
      </c>
      <c r="X7" s="39" cm="1">
        <f t="array" ref="X7">isfontcolorred(Table248[[#This Row],[MD
(m)]])</f>
        <v>0</v>
      </c>
      <c r="Y7" s="37">
        <f>IF(Table248[[#This Row],[Plug Depth
Plan
(m)]]&lt;&gt;0,1,0)</f>
        <v>0</v>
      </c>
      <c r="Z7" s="39"/>
      <c r="AA7" s="40" t="str">
        <f>IF(Table248[[#This Row],[Plug Depth
Plan
(m)]]=0,"",ABS(Table248[[#This Row],[Plug Depth
Plan
(m)]]-Table248[[#This Row],[MD
(m)]]))</f>
        <v/>
      </c>
    </row>
    <row r="8" spans="1:29" ht="16" thickBot="1" x14ac:dyDescent="0.25">
      <c r="A8" s="2">
        <v>164.3</v>
      </c>
      <c r="B8" s="1">
        <v>164.3</v>
      </c>
      <c r="C8" s="2">
        <v>0.1</v>
      </c>
      <c r="D8" s="2">
        <v>105.05</v>
      </c>
      <c r="E8" s="2">
        <v>0.03</v>
      </c>
      <c r="F8" s="1">
        <v>-0.36</v>
      </c>
      <c r="G8" s="1">
        <v>0.73</v>
      </c>
      <c r="H8" s="1">
        <v>-0.01</v>
      </c>
      <c r="I8" s="1">
        <v>-12.79</v>
      </c>
      <c r="J8" s="2">
        <v>164.3</v>
      </c>
      <c r="K8" s="2">
        <v>164.3</v>
      </c>
      <c r="L8" s="2">
        <v>0.1</v>
      </c>
      <c r="M8" s="2">
        <v>105.05</v>
      </c>
      <c r="N8" s="2">
        <v>0.03</v>
      </c>
      <c r="O8" s="2">
        <v>-0.36</v>
      </c>
      <c r="P8" s="2">
        <v>0.73</v>
      </c>
      <c r="Q8" s="2">
        <v>-0.01</v>
      </c>
      <c r="R8" s="2">
        <v>-12.79</v>
      </c>
      <c r="S8" s="39"/>
      <c r="T8" s="39"/>
      <c r="U8" s="39"/>
      <c r="V8" s="39"/>
      <c r="W8" s="37" cm="1">
        <f t="array" ref="W8">CheckYellowFill(Table248[[#This Row],[MD
(m)]])</f>
        <v>0</v>
      </c>
      <c r="X8" s="39" cm="1">
        <f t="array" ref="X8">isfontcolorred(Table248[[#This Row],[MD
(m)]])</f>
        <v>0</v>
      </c>
      <c r="Y8" s="37">
        <f>IF(Table248[[#This Row],[Plug Depth
Plan
(m)]]&lt;&gt;0,1,0)</f>
        <v>0</v>
      </c>
      <c r="Z8" s="39"/>
      <c r="AA8" s="40" t="str">
        <f>IF(Table248[[#This Row],[Plug Depth
Plan
(m)]]=0,"",ABS(Table248[[#This Row],[Plug Depth
Plan
(m)]]-Table248[[#This Row],[MD
(m)]]))</f>
        <v/>
      </c>
    </row>
    <row r="9" spans="1:29" ht="16" thickBot="1" x14ac:dyDescent="0.25">
      <c r="A9" s="2">
        <v>193.46</v>
      </c>
      <c r="B9" s="1">
        <v>193.46</v>
      </c>
      <c r="C9" s="2">
        <v>0.13</v>
      </c>
      <c r="D9" s="2">
        <v>69.31</v>
      </c>
      <c r="E9" s="2">
        <v>0.08</v>
      </c>
      <c r="F9" s="1">
        <v>-0.35</v>
      </c>
      <c r="G9" s="1">
        <v>0.78</v>
      </c>
      <c r="H9" s="1">
        <v>0.03</v>
      </c>
      <c r="I9" s="1">
        <v>-36.770000000000003</v>
      </c>
      <c r="J9" s="2">
        <v>193.46</v>
      </c>
      <c r="K9" s="2">
        <v>193.46</v>
      </c>
      <c r="L9" s="2">
        <v>0.13</v>
      </c>
      <c r="M9" s="2">
        <v>69.31</v>
      </c>
      <c r="N9" s="2">
        <v>0.08</v>
      </c>
      <c r="O9" s="2">
        <v>-0.35</v>
      </c>
      <c r="P9" s="2">
        <v>0.78</v>
      </c>
      <c r="Q9" s="2">
        <v>0.03</v>
      </c>
      <c r="R9" s="2">
        <v>-36.770000000000003</v>
      </c>
      <c r="S9" s="39"/>
      <c r="T9" s="39"/>
      <c r="U9" s="39"/>
      <c r="V9" s="39"/>
      <c r="W9" s="37" cm="1">
        <f t="array" ref="W9">CheckYellowFill(Table248[[#This Row],[MD
(m)]])</f>
        <v>0</v>
      </c>
      <c r="X9" s="39" cm="1">
        <f t="array" ref="X9">isfontcolorred(Table248[[#This Row],[MD
(m)]])</f>
        <v>0</v>
      </c>
      <c r="Y9" s="37">
        <f>IF(Table248[[#This Row],[Plug Depth
Plan
(m)]]&lt;&gt;0,1,0)</f>
        <v>0</v>
      </c>
      <c r="Z9" s="39"/>
      <c r="AA9" s="40" t="str">
        <f>IF(Table248[[#This Row],[Plug Depth
Plan
(m)]]=0,"",ABS(Table248[[#This Row],[Plug Depth
Plan
(m)]]-Table248[[#This Row],[MD
(m)]]))</f>
        <v/>
      </c>
    </row>
    <row r="10" spans="1:29" ht="16" thickBot="1" x14ac:dyDescent="0.25">
      <c r="A10" s="2">
        <v>222.05</v>
      </c>
      <c r="B10" s="1">
        <v>222.05</v>
      </c>
      <c r="C10" s="2">
        <v>0.17</v>
      </c>
      <c r="D10" s="2">
        <v>40.909999999999997</v>
      </c>
      <c r="E10" s="2">
        <v>0.09</v>
      </c>
      <c r="F10" s="1">
        <v>-0.31</v>
      </c>
      <c r="G10" s="1">
        <v>0.84</v>
      </c>
      <c r="H10" s="1">
        <v>0.04</v>
      </c>
      <c r="I10" s="1">
        <v>-29.8</v>
      </c>
      <c r="J10" s="2">
        <v>222.05</v>
      </c>
      <c r="K10" s="2">
        <v>222.05</v>
      </c>
      <c r="L10" s="2">
        <v>0.17</v>
      </c>
      <c r="M10" s="2">
        <v>40.909999999999997</v>
      </c>
      <c r="N10" s="2">
        <v>0.09</v>
      </c>
      <c r="O10" s="2">
        <v>-0.31</v>
      </c>
      <c r="P10" s="2">
        <v>0.84</v>
      </c>
      <c r="Q10" s="2">
        <v>0.04</v>
      </c>
      <c r="R10" s="2">
        <v>-29.8</v>
      </c>
      <c r="S10" s="39"/>
      <c r="T10" s="39"/>
      <c r="U10" s="39"/>
      <c r="V10" s="39"/>
      <c r="W10" s="37" cm="1">
        <f t="array" ref="W10">CheckYellowFill(Table248[[#This Row],[MD
(m)]])</f>
        <v>0</v>
      </c>
      <c r="X10" s="39" cm="1">
        <f t="array" ref="X10">isfontcolorred(Table248[[#This Row],[MD
(m)]])</f>
        <v>0</v>
      </c>
      <c r="Y10" s="37">
        <f>IF(Table248[[#This Row],[Plug Depth
Plan
(m)]]&lt;&gt;0,1,0)</f>
        <v>0</v>
      </c>
      <c r="Z10" s="39"/>
      <c r="AA10" s="40" t="str">
        <f>IF(Table248[[#This Row],[Plug Depth
Plan
(m)]]=0,"",ABS(Table248[[#This Row],[Plug Depth
Plan
(m)]]-Table248[[#This Row],[MD
(m)]]))</f>
        <v/>
      </c>
    </row>
    <row r="11" spans="1:29" ht="16" thickBot="1" x14ac:dyDescent="0.25">
      <c r="A11" s="2">
        <v>251.88</v>
      </c>
      <c r="B11" s="1">
        <v>251.88</v>
      </c>
      <c r="C11" s="2">
        <v>0.1</v>
      </c>
      <c r="D11" s="2">
        <v>277.37</v>
      </c>
      <c r="E11" s="2">
        <v>0.24</v>
      </c>
      <c r="F11" s="1">
        <v>-0.27</v>
      </c>
      <c r="G11" s="1">
        <v>0.84</v>
      </c>
      <c r="H11" s="1">
        <v>-7.0000000000000007E-2</v>
      </c>
      <c r="I11" s="1">
        <v>-124.24</v>
      </c>
      <c r="J11" s="2">
        <v>251.88</v>
      </c>
      <c r="K11" s="2">
        <v>251.88</v>
      </c>
      <c r="L11" s="2">
        <v>0.1</v>
      </c>
      <c r="M11" s="2">
        <v>277.37</v>
      </c>
      <c r="N11" s="2">
        <v>0.24</v>
      </c>
      <c r="O11" s="2">
        <v>-0.27</v>
      </c>
      <c r="P11" s="2">
        <v>0.84</v>
      </c>
      <c r="Q11" s="2">
        <v>-7.0000000000000007E-2</v>
      </c>
      <c r="R11" s="2">
        <v>-124.24</v>
      </c>
      <c r="S11" s="39"/>
      <c r="T11" s="39"/>
      <c r="U11" s="39"/>
      <c r="V11" s="39"/>
      <c r="W11" s="37" cm="1">
        <f t="array" ref="W11">CheckYellowFill(Table248[[#This Row],[MD
(m)]])</f>
        <v>0</v>
      </c>
      <c r="X11" s="39" cm="1">
        <f t="array" ref="X11">isfontcolorred(Table248[[#This Row],[MD
(m)]])</f>
        <v>0</v>
      </c>
      <c r="Y11" s="37">
        <f>IF(Table248[[#This Row],[Plug Depth
Plan
(m)]]&lt;&gt;0,1,0)</f>
        <v>0</v>
      </c>
      <c r="Z11" s="39"/>
      <c r="AA11" s="40" t="str">
        <f>IF(Table248[[#This Row],[Plug Depth
Plan
(m)]]=0,"",ABS(Table248[[#This Row],[Plug Depth
Plan
(m)]]-Table248[[#This Row],[MD
(m)]]))</f>
        <v/>
      </c>
    </row>
    <row r="12" spans="1:29" ht="16" thickBot="1" x14ac:dyDescent="0.25">
      <c r="A12" s="2">
        <v>281.25</v>
      </c>
      <c r="B12" s="1">
        <v>281.25</v>
      </c>
      <c r="C12" s="2">
        <v>0.22</v>
      </c>
      <c r="D12" s="2">
        <v>14.85</v>
      </c>
      <c r="E12" s="2">
        <v>0.26</v>
      </c>
      <c r="F12" s="1">
        <v>-0.22</v>
      </c>
      <c r="G12" s="1">
        <v>0.83</v>
      </c>
      <c r="H12" s="1">
        <v>0.12</v>
      </c>
      <c r="I12" s="1">
        <v>99.57</v>
      </c>
      <c r="J12" s="2">
        <v>281.25</v>
      </c>
      <c r="K12" s="2">
        <v>281.25</v>
      </c>
      <c r="L12" s="2">
        <v>0.22</v>
      </c>
      <c r="M12" s="2">
        <v>14.85</v>
      </c>
      <c r="N12" s="2">
        <v>0.26</v>
      </c>
      <c r="O12" s="2">
        <v>-0.22</v>
      </c>
      <c r="P12" s="2">
        <v>0.83</v>
      </c>
      <c r="Q12" s="2">
        <v>0.12</v>
      </c>
      <c r="R12" s="2">
        <v>99.57</v>
      </c>
      <c r="S12" s="39"/>
      <c r="T12" s="39"/>
      <c r="U12" s="39"/>
      <c r="V12" s="39"/>
      <c r="W12" s="37" cm="1">
        <f t="array" ref="W12">CheckYellowFill(Table248[[#This Row],[MD
(m)]])</f>
        <v>0</v>
      </c>
      <c r="X12" s="39" cm="1">
        <f t="array" ref="X12">isfontcolorred(Table248[[#This Row],[MD
(m)]])</f>
        <v>0</v>
      </c>
      <c r="Y12" s="37">
        <f>IF(Table248[[#This Row],[Plug Depth
Plan
(m)]]&lt;&gt;0,1,0)</f>
        <v>0</v>
      </c>
      <c r="Z12" s="39"/>
      <c r="AA12" s="40" t="str">
        <f>IF(Table248[[#This Row],[Plug Depth
Plan
(m)]]=0,"",ABS(Table248[[#This Row],[Plug Depth
Plan
(m)]]-Table248[[#This Row],[MD
(m)]]))</f>
        <v/>
      </c>
    </row>
    <row r="13" spans="1:29" ht="16" thickBot="1" x14ac:dyDescent="0.25">
      <c r="A13" s="2">
        <v>309.92</v>
      </c>
      <c r="B13" s="1">
        <v>309.92</v>
      </c>
      <c r="C13" s="2">
        <v>0.2</v>
      </c>
      <c r="D13" s="2">
        <v>10.19</v>
      </c>
      <c r="E13" s="2">
        <v>0.03</v>
      </c>
      <c r="F13" s="1">
        <v>-0.11</v>
      </c>
      <c r="G13" s="1">
        <v>0.86</v>
      </c>
      <c r="H13" s="1">
        <v>-0.02</v>
      </c>
      <c r="I13" s="1">
        <v>-4.88</v>
      </c>
      <c r="J13" s="2">
        <v>309.92</v>
      </c>
      <c r="K13" s="2">
        <v>309.92</v>
      </c>
      <c r="L13" s="2">
        <v>0.2</v>
      </c>
      <c r="M13" s="2">
        <v>10.19</v>
      </c>
      <c r="N13" s="2">
        <v>0.03</v>
      </c>
      <c r="O13" s="2">
        <v>-0.11</v>
      </c>
      <c r="P13" s="2">
        <v>0.86</v>
      </c>
      <c r="Q13" s="2">
        <v>-0.02</v>
      </c>
      <c r="R13" s="2">
        <v>-4.88</v>
      </c>
      <c r="S13" s="39"/>
      <c r="T13" s="39"/>
      <c r="U13" s="39"/>
      <c r="V13" s="39"/>
      <c r="W13" s="37" cm="1">
        <f t="array" ref="W13">CheckYellowFill(Table248[[#This Row],[MD
(m)]])</f>
        <v>0</v>
      </c>
      <c r="X13" s="39" cm="1">
        <f t="array" ref="X13">isfontcolorred(Table248[[#This Row],[MD
(m)]])</f>
        <v>0</v>
      </c>
      <c r="Y13" s="37">
        <f>IF(Table248[[#This Row],[Plug Depth
Plan
(m)]]&lt;&gt;0,1,0)</f>
        <v>0</v>
      </c>
      <c r="Z13" s="39"/>
      <c r="AA13" s="40" t="str">
        <f>IF(Table248[[#This Row],[Plug Depth
Plan
(m)]]=0,"",ABS(Table248[[#This Row],[Plug Depth
Plan
(m)]]-Table248[[#This Row],[MD
(m)]]))</f>
        <v/>
      </c>
    </row>
    <row r="14" spans="1:29" ht="16" thickBot="1" x14ac:dyDescent="0.25">
      <c r="A14" s="2">
        <v>339.48</v>
      </c>
      <c r="B14" s="1">
        <v>339.48</v>
      </c>
      <c r="C14" s="2">
        <v>7.0000000000000007E-2</v>
      </c>
      <c r="D14" s="2">
        <v>105.5</v>
      </c>
      <c r="E14" s="2">
        <v>0.22</v>
      </c>
      <c r="F14" s="1">
        <v>-7.0000000000000007E-2</v>
      </c>
      <c r="G14" s="1">
        <v>0.88</v>
      </c>
      <c r="H14" s="1">
        <v>-0.13</v>
      </c>
      <c r="I14" s="1">
        <v>96.73</v>
      </c>
      <c r="J14" s="2">
        <v>339.48</v>
      </c>
      <c r="K14" s="2">
        <v>339.48</v>
      </c>
      <c r="L14" s="2">
        <v>7.0000000000000007E-2</v>
      </c>
      <c r="M14" s="2">
        <v>105.5</v>
      </c>
      <c r="N14" s="2">
        <v>0.22</v>
      </c>
      <c r="O14" s="2">
        <v>-7.0000000000000007E-2</v>
      </c>
      <c r="P14" s="2">
        <v>0.88</v>
      </c>
      <c r="Q14" s="2">
        <v>-0.13</v>
      </c>
      <c r="R14" s="2">
        <v>96.73</v>
      </c>
      <c r="S14" s="39"/>
      <c r="T14" s="39"/>
      <c r="U14" s="39"/>
      <c r="V14" s="39"/>
      <c r="W14" s="37" cm="1">
        <f t="array" ref="W14">CheckYellowFill(Table248[[#This Row],[MD
(m)]])</f>
        <v>0</v>
      </c>
      <c r="X14" s="39" cm="1">
        <f t="array" ref="X14">isfontcolorred(Table248[[#This Row],[MD
(m)]])</f>
        <v>0</v>
      </c>
      <c r="Y14" s="37">
        <f>IF(Table248[[#This Row],[Plug Depth
Plan
(m)]]&lt;&gt;0,1,0)</f>
        <v>0</v>
      </c>
      <c r="Z14" s="39"/>
      <c r="AA14" s="40" t="str">
        <f>IF(Table248[[#This Row],[Plug Depth
Plan
(m)]]=0,"",ABS(Table248[[#This Row],[Plug Depth
Plan
(m)]]-Table248[[#This Row],[MD
(m)]]))</f>
        <v/>
      </c>
    </row>
    <row r="15" spans="1:29" ht="16" thickBot="1" x14ac:dyDescent="0.25">
      <c r="A15" s="2">
        <v>368.47</v>
      </c>
      <c r="B15" s="1">
        <v>368.47</v>
      </c>
      <c r="C15" s="2">
        <v>0.21</v>
      </c>
      <c r="D15" s="2">
        <v>71.790000000000006</v>
      </c>
      <c r="E15" s="2">
        <v>0.16</v>
      </c>
      <c r="F15" s="1">
        <v>-0.06</v>
      </c>
      <c r="G15" s="1">
        <v>0.95</v>
      </c>
      <c r="H15" s="1">
        <v>0.14000000000000001</v>
      </c>
      <c r="I15" s="1">
        <v>-34.880000000000003</v>
      </c>
      <c r="J15" s="2">
        <v>368.47</v>
      </c>
      <c r="K15" s="2">
        <v>368.47</v>
      </c>
      <c r="L15" s="2">
        <v>0.21</v>
      </c>
      <c r="M15" s="2">
        <v>71.790000000000006</v>
      </c>
      <c r="N15" s="2">
        <v>0.16</v>
      </c>
      <c r="O15" s="2">
        <v>-0.06</v>
      </c>
      <c r="P15" s="2">
        <v>0.95</v>
      </c>
      <c r="Q15" s="2">
        <v>0.16</v>
      </c>
      <c r="R15" s="2">
        <v>-11.1</v>
      </c>
      <c r="S15" s="39"/>
      <c r="T15" s="39"/>
      <c r="U15" s="39"/>
      <c r="V15" s="39"/>
      <c r="W15" s="37" cm="1">
        <f t="array" ref="W15">CheckYellowFill(Table248[[#This Row],[MD
(m)]])</f>
        <v>0</v>
      </c>
      <c r="X15" s="39" cm="1">
        <f t="array" ref="X15">isfontcolorred(Table248[[#This Row],[MD
(m)]])</f>
        <v>0</v>
      </c>
      <c r="Y15" s="37">
        <f>IF(Table248[[#This Row],[Plug Depth
Plan
(m)]]&lt;&gt;0,1,0)</f>
        <v>0</v>
      </c>
      <c r="Z15" s="39"/>
      <c r="AA15" s="40" t="str">
        <f>IF(Table248[[#This Row],[Plug Depth
Plan
(m)]]=0,"",ABS(Table248[[#This Row],[Plug Depth
Plan
(m)]]-Table248[[#This Row],[MD
(m)]]))</f>
        <v/>
      </c>
    </row>
    <row r="16" spans="1:29" ht="16" thickBot="1" x14ac:dyDescent="0.25">
      <c r="A16" s="2">
        <v>398.05</v>
      </c>
      <c r="B16" s="1">
        <v>398.05</v>
      </c>
      <c r="C16" s="2">
        <v>0.11</v>
      </c>
      <c r="D16" s="2">
        <v>193.04</v>
      </c>
      <c r="E16" s="2">
        <v>0.28999999999999998</v>
      </c>
      <c r="F16" s="1">
        <v>-7.0000000000000007E-2</v>
      </c>
      <c r="G16" s="1">
        <v>1</v>
      </c>
      <c r="H16" s="1">
        <v>-0.1</v>
      </c>
      <c r="I16" s="1">
        <v>122.97</v>
      </c>
      <c r="J16" s="7">
        <v>398.05</v>
      </c>
      <c r="K16" s="3">
        <v>398.05</v>
      </c>
      <c r="L16" s="3">
        <v>0.11</v>
      </c>
      <c r="M16" s="3">
        <v>193.04</v>
      </c>
      <c r="N16" s="8">
        <v>0.28999999999999998</v>
      </c>
      <c r="O16" s="50">
        <v>-7.0000000000000007E-2</v>
      </c>
      <c r="P16" s="50">
        <v>1</v>
      </c>
      <c r="Q16" s="50">
        <v>-0.1</v>
      </c>
      <c r="R16" s="50">
        <v>122.97</v>
      </c>
      <c r="S16" s="39"/>
      <c r="T16" s="39"/>
      <c r="U16" s="39"/>
      <c r="V16" s="39"/>
      <c r="W16" s="37" cm="1">
        <f t="array" ref="W16">CheckYellowFill(Table248[[#This Row],[MD
(m)]])</f>
        <v>0</v>
      </c>
      <c r="X16" s="39" cm="1">
        <f t="array" ref="X16">isfontcolorred(Table248[[#This Row],[MD
(m)]])</f>
        <v>0</v>
      </c>
      <c r="Y16" s="37">
        <f>IF(Table248[[#This Row],[Plug Depth
Plan
(m)]]&lt;&gt;0,1,0)</f>
        <v>0</v>
      </c>
      <c r="Z16" s="39"/>
      <c r="AA16" s="40" t="str">
        <f>IF(Table248[[#This Row],[Plug Depth
Plan
(m)]]=0,"",ABS(Table248[[#This Row],[Plug Depth
Plan
(m)]]-Table248[[#This Row],[MD
(m)]]))</f>
        <v/>
      </c>
    </row>
    <row r="17" spans="1:27" ht="16" thickBot="1" x14ac:dyDescent="0.25">
      <c r="A17" s="2">
        <v>427.65</v>
      </c>
      <c r="B17" s="1">
        <v>427.65</v>
      </c>
      <c r="C17" s="2">
        <v>0.15</v>
      </c>
      <c r="D17" s="2">
        <v>293.76</v>
      </c>
      <c r="E17" s="2">
        <v>0.2</v>
      </c>
      <c r="F17" s="1">
        <v>-0.08</v>
      </c>
      <c r="G17" s="1">
        <v>0.95</v>
      </c>
      <c r="H17" s="1">
        <v>0.04</v>
      </c>
      <c r="I17" s="1">
        <v>102.08</v>
      </c>
      <c r="J17" s="7">
        <v>427.65</v>
      </c>
      <c r="K17" s="3">
        <v>427.65</v>
      </c>
      <c r="L17" s="3">
        <v>0.15</v>
      </c>
      <c r="M17" s="3">
        <v>293.76</v>
      </c>
      <c r="N17" s="8">
        <v>0.2</v>
      </c>
      <c r="O17" s="50">
        <v>-0.08</v>
      </c>
      <c r="P17" s="50">
        <v>0.95</v>
      </c>
      <c r="Q17" s="50">
        <v>0.04</v>
      </c>
      <c r="R17" s="50">
        <v>102.08</v>
      </c>
      <c r="S17" s="39"/>
      <c r="T17" s="39"/>
      <c r="U17" s="39"/>
      <c r="V17" s="39"/>
      <c r="W17" s="37" cm="1">
        <f t="array" ref="W17">CheckYellowFill(Table248[[#This Row],[MD
(m)]])</f>
        <v>0</v>
      </c>
      <c r="X17" s="39" cm="1">
        <f t="array" ref="X17">isfontcolorred(Table248[[#This Row],[MD
(m)]])</f>
        <v>0</v>
      </c>
      <c r="Y17" s="37">
        <f>IF(Table248[[#This Row],[Plug Depth
Plan
(m)]]&lt;&gt;0,1,0)</f>
        <v>0</v>
      </c>
      <c r="Z17" s="39"/>
      <c r="AA17" s="40" t="str">
        <f>IF(Table248[[#This Row],[Plug Depth
Plan
(m)]]=0,"",ABS(Table248[[#This Row],[Plug Depth
Plan
(m)]]-Table248[[#This Row],[MD
(m)]]))</f>
        <v/>
      </c>
    </row>
    <row r="18" spans="1:27" ht="16" thickBot="1" x14ac:dyDescent="0.25">
      <c r="A18" s="2">
        <v>457.21</v>
      </c>
      <c r="B18" s="1">
        <v>457.21</v>
      </c>
      <c r="C18" s="2">
        <v>0.23</v>
      </c>
      <c r="D18" s="2">
        <v>224.14</v>
      </c>
      <c r="E18" s="2">
        <v>0.23</v>
      </c>
      <c r="F18" s="1">
        <v>-0.11</v>
      </c>
      <c r="G18" s="1">
        <v>0.88</v>
      </c>
      <c r="H18" s="1">
        <v>0.08</v>
      </c>
      <c r="I18" s="1">
        <v>-70.66</v>
      </c>
      <c r="J18" s="7">
        <v>457.21</v>
      </c>
      <c r="K18" s="3">
        <v>457.21</v>
      </c>
      <c r="L18" s="3">
        <v>0.23</v>
      </c>
      <c r="M18" s="3">
        <v>224.14</v>
      </c>
      <c r="N18" s="8">
        <v>0.23</v>
      </c>
      <c r="O18" s="50">
        <v>-0.11</v>
      </c>
      <c r="P18" s="50">
        <v>0.88</v>
      </c>
      <c r="Q18" s="50">
        <v>0.14000000000000001</v>
      </c>
      <c r="R18" s="50">
        <v>-55.9</v>
      </c>
      <c r="S18" s="39"/>
      <c r="T18" s="39"/>
      <c r="U18" s="39"/>
      <c r="V18" s="39"/>
      <c r="W18" s="37" cm="1">
        <f t="array" ref="W18">CheckYellowFill(Table248[[#This Row],[MD
(m)]])</f>
        <v>0</v>
      </c>
      <c r="X18" s="39" cm="1">
        <f t="array" ref="X18">isfontcolorred(Table248[[#This Row],[MD
(m)]])</f>
        <v>0</v>
      </c>
      <c r="Y18" s="37">
        <f>IF(Table248[[#This Row],[Plug Depth
Plan
(m)]]&lt;&gt;0,1,0)</f>
        <v>0</v>
      </c>
      <c r="Z18" s="39"/>
      <c r="AA18" s="40" t="str">
        <f>IF(Table248[[#This Row],[Plug Depth
Plan
(m)]]=0,"",ABS(Table248[[#This Row],[Plug Depth
Plan
(m)]]-Table248[[#This Row],[MD
(m)]]))</f>
        <v/>
      </c>
    </row>
    <row r="19" spans="1:27" ht="16" thickBot="1" x14ac:dyDescent="0.25">
      <c r="A19" s="2">
        <v>486.77</v>
      </c>
      <c r="B19" s="1">
        <v>486.77</v>
      </c>
      <c r="C19" s="2">
        <v>0.39</v>
      </c>
      <c r="D19" s="2">
        <v>249.67</v>
      </c>
      <c r="E19" s="2">
        <v>0.21</v>
      </c>
      <c r="F19" s="1">
        <v>-0.18</v>
      </c>
      <c r="G19" s="1">
        <v>0.74</v>
      </c>
      <c r="H19" s="1">
        <v>0.16</v>
      </c>
      <c r="I19" s="1">
        <v>25.91</v>
      </c>
      <c r="J19" s="7">
        <v>486.77</v>
      </c>
      <c r="K19" s="3">
        <v>486.77</v>
      </c>
      <c r="L19" s="3">
        <v>0.39</v>
      </c>
      <c r="M19" s="3">
        <v>249.67</v>
      </c>
      <c r="N19" s="8">
        <v>0.21</v>
      </c>
      <c r="O19" s="50">
        <v>-0.18</v>
      </c>
      <c r="P19" s="50">
        <v>0.74</v>
      </c>
      <c r="Q19" s="50">
        <v>0.16</v>
      </c>
      <c r="R19" s="50">
        <v>25.91</v>
      </c>
      <c r="S19" s="39"/>
      <c r="T19" s="39"/>
      <c r="U19" s="39"/>
      <c r="V19" s="39"/>
      <c r="W19" s="37" cm="1">
        <f t="array" ref="W19">CheckYellowFill(Table248[[#This Row],[MD
(m)]])</f>
        <v>0</v>
      </c>
      <c r="X19" s="39" cm="1">
        <f t="array" ref="X19">isfontcolorred(Table248[[#This Row],[MD
(m)]])</f>
        <v>0</v>
      </c>
      <c r="Y19" s="37">
        <f>IF(Table248[[#This Row],[Plug Depth
Plan
(m)]]&lt;&gt;0,1,0)</f>
        <v>0</v>
      </c>
      <c r="Z19" s="39"/>
      <c r="AA19" s="40" t="str">
        <f>IF(Table248[[#This Row],[Plug Depth
Plan
(m)]]=0,"",ABS(Table248[[#This Row],[Plug Depth
Plan
(m)]]-Table248[[#This Row],[MD
(m)]]))</f>
        <v/>
      </c>
    </row>
    <row r="20" spans="1:27" ht="16" thickBot="1" x14ac:dyDescent="0.25">
      <c r="A20" s="2">
        <v>516.37</v>
      </c>
      <c r="B20" s="1">
        <v>516.37</v>
      </c>
      <c r="C20" s="2">
        <v>0.34</v>
      </c>
      <c r="D20" s="2">
        <v>263.37</v>
      </c>
      <c r="E20" s="2">
        <v>0.1</v>
      </c>
      <c r="F20" s="1">
        <v>-0.23</v>
      </c>
      <c r="G20" s="1">
        <v>0.56000000000000005</v>
      </c>
      <c r="H20" s="1">
        <v>-0.05</v>
      </c>
      <c r="I20" s="1">
        <v>13.89</v>
      </c>
      <c r="J20" s="7">
        <v>516.37</v>
      </c>
      <c r="K20" s="3">
        <v>516.37</v>
      </c>
      <c r="L20" s="3">
        <v>0.34</v>
      </c>
      <c r="M20" s="3">
        <v>263.37</v>
      </c>
      <c r="N20" s="8">
        <v>0.1</v>
      </c>
      <c r="O20" s="50">
        <v>-0.23</v>
      </c>
      <c r="P20" s="50">
        <v>0.56000000000000005</v>
      </c>
      <c r="Q20" s="50">
        <v>-0.05</v>
      </c>
      <c r="R20" s="50">
        <v>13.89</v>
      </c>
      <c r="S20" s="39"/>
      <c r="T20" s="39"/>
      <c r="U20" s="39"/>
      <c r="V20" s="39"/>
      <c r="W20" s="37" cm="1">
        <f t="array" ref="W20">CheckYellowFill(Table248[[#This Row],[MD
(m)]])</f>
        <v>0</v>
      </c>
      <c r="X20" s="39" cm="1">
        <f t="array" ref="X20">isfontcolorred(Table248[[#This Row],[MD
(m)]])</f>
        <v>0</v>
      </c>
      <c r="Y20" s="37">
        <f>IF(Table248[[#This Row],[Plug Depth
Plan
(m)]]&lt;&gt;0,1,0)</f>
        <v>0</v>
      </c>
      <c r="Z20" s="39"/>
      <c r="AA20" s="40" t="str">
        <f>IF(Table248[[#This Row],[Plug Depth
Plan
(m)]]=0,"",ABS(Table248[[#This Row],[Plug Depth
Plan
(m)]]-Table248[[#This Row],[MD
(m)]]))</f>
        <v/>
      </c>
    </row>
    <row r="21" spans="1:27" ht="16" thickBot="1" x14ac:dyDescent="0.25">
      <c r="A21" s="2">
        <v>545.29999999999995</v>
      </c>
      <c r="B21" s="1">
        <v>545.29999999999995</v>
      </c>
      <c r="C21" s="2">
        <v>0.1</v>
      </c>
      <c r="D21" s="2">
        <v>260.32</v>
      </c>
      <c r="E21" s="2">
        <v>0.25</v>
      </c>
      <c r="F21" s="1">
        <v>-0.24</v>
      </c>
      <c r="G21" s="1">
        <v>0.45</v>
      </c>
      <c r="H21" s="1">
        <v>-0.25</v>
      </c>
      <c r="I21" s="1">
        <v>-3.16</v>
      </c>
      <c r="J21" s="7">
        <v>545.29999999999995</v>
      </c>
      <c r="K21" s="3">
        <v>545.29999999999995</v>
      </c>
      <c r="L21" s="3">
        <v>0.1</v>
      </c>
      <c r="M21" s="3">
        <v>260.32</v>
      </c>
      <c r="N21" s="8">
        <v>0.25</v>
      </c>
      <c r="O21" s="50">
        <v>-0.24</v>
      </c>
      <c r="P21" s="50">
        <v>0.45</v>
      </c>
      <c r="Q21" s="50">
        <v>-0.25</v>
      </c>
      <c r="R21" s="50">
        <v>-3.16</v>
      </c>
      <c r="S21" s="39"/>
      <c r="T21" s="39"/>
      <c r="U21" s="39"/>
      <c r="V21" s="39"/>
      <c r="W21" s="37" cm="1">
        <f t="array" ref="W21">CheckYellowFill(Table248[[#This Row],[MD
(m)]])</f>
        <v>0</v>
      </c>
      <c r="X21" s="39" cm="1">
        <f t="array" ref="X21">isfontcolorred(Table248[[#This Row],[MD
(m)]])</f>
        <v>0</v>
      </c>
      <c r="Y21" s="37">
        <f>IF(Table248[[#This Row],[Plug Depth
Plan
(m)]]&lt;&gt;0,1,0)</f>
        <v>0</v>
      </c>
      <c r="Z21" s="39"/>
      <c r="AA21" s="40" t="str">
        <f>IF(Table248[[#This Row],[Plug Depth
Plan
(m)]]=0,"",ABS(Table248[[#This Row],[Plug Depth
Plan
(m)]]-Table248[[#This Row],[MD
(m)]]))</f>
        <v/>
      </c>
    </row>
    <row r="22" spans="1:27" ht="16" thickBot="1" x14ac:dyDescent="0.25">
      <c r="A22" s="2">
        <v>574.98</v>
      </c>
      <c r="B22" s="1">
        <v>574.98</v>
      </c>
      <c r="C22" s="2">
        <v>0.12</v>
      </c>
      <c r="D22" s="2">
        <v>256.20999999999998</v>
      </c>
      <c r="E22" s="2">
        <v>0.02</v>
      </c>
      <c r="F22" s="1">
        <v>-0.25</v>
      </c>
      <c r="G22" s="1">
        <v>0.39</v>
      </c>
      <c r="H22" s="1">
        <v>0.02</v>
      </c>
      <c r="I22" s="1">
        <v>-4.1500000000000004</v>
      </c>
      <c r="J22" s="7">
        <v>574.98</v>
      </c>
      <c r="K22" s="3">
        <v>574.98</v>
      </c>
      <c r="L22" s="3">
        <v>0.12</v>
      </c>
      <c r="M22" s="3">
        <v>256.20999999999998</v>
      </c>
      <c r="N22" s="8">
        <v>0.02</v>
      </c>
      <c r="O22" s="50">
        <v>-0.25</v>
      </c>
      <c r="P22" s="50">
        <v>0.39</v>
      </c>
      <c r="Q22" s="50">
        <v>0.02</v>
      </c>
      <c r="R22" s="50">
        <v>-4.1500000000000004</v>
      </c>
      <c r="S22" s="39"/>
      <c r="T22" s="39"/>
      <c r="U22" s="39"/>
      <c r="V22" s="39"/>
      <c r="W22" s="37" cm="1">
        <f t="array" ref="W22">CheckYellowFill(Table248[[#This Row],[MD
(m)]])</f>
        <v>0</v>
      </c>
      <c r="X22" s="39" cm="1">
        <f t="array" ref="X22">isfontcolorred(Table248[[#This Row],[MD
(m)]])</f>
        <v>0</v>
      </c>
      <c r="Y22" s="37">
        <f>IF(Table248[[#This Row],[Plug Depth
Plan
(m)]]&lt;&gt;0,1,0)</f>
        <v>0</v>
      </c>
      <c r="Z22" s="39"/>
      <c r="AA22" s="40" t="str">
        <f>IF(Table248[[#This Row],[Plug Depth
Plan
(m)]]=0,"",ABS(Table248[[#This Row],[Plug Depth
Plan
(m)]]-Table248[[#This Row],[MD
(m)]]))</f>
        <v/>
      </c>
    </row>
    <row r="23" spans="1:27" ht="16" thickBot="1" x14ac:dyDescent="0.25">
      <c r="A23" s="2">
        <v>604.65</v>
      </c>
      <c r="B23" s="1">
        <v>604.65</v>
      </c>
      <c r="C23" s="2">
        <v>0.03</v>
      </c>
      <c r="D23" s="2">
        <v>119.59</v>
      </c>
      <c r="E23" s="2">
        <v>0.14000000000000001</v>
      </c>
      <c r="F23" s="1">
        <v>-0.27</v>
      </c>
      <c r="G23" s="1">
        <v>0.37</v>
      </c>
      <c r="H23" s="1">
        <v>-0.09</v>
      </c>
      <c r="I23" s="1">
        <v>-138.13999999999999</v>
      </c>
      <c r="J23" s="7">
        <v>604.65</v>
      </c>
      <c r="K23" s="3">
        <v>604.65</v>
      </c>
      <c r="L23" s="3">
        <v>0.03</v>
      </c>
      <c r="M23" s="3">
        <v>119.59</v>
      </c>
      <c r="N23" s="8">
        <v>0.14000000000000001</v>
      </c>
      <c r="O23" s="50">
        <v>-0.27</v>
      </c>
      <c r="P23" s="50">
        <v>0.37</v>
      </c>
      <c r="Q23" s="50">
        <v>-0.09</v>
      </c>
      <c r="R23" s="50">
        <v>-138.13999999999999</v>
      </c>
      <c r="S23" s="39"/>
      <c r="T23" s="39"/>
      <c r="U23" s="39"/>
      <c r="V23" s="39"/>
      <c r="W23" s="37" cm="1">
        <f t="array" ref="W23">CheckYellowFill(Table248[[#This Row],[MD
(m)]])</f>
        <v>0</v>
      </c>
      <c r="X23" s="39" cm="1">
        <f t="array" ref="X23">isfontcolorred(Table248[[#This Row],[MD
(m)]])</f>
        <v>0</v>
      </c>
      <c r="Y23" s="37">
        <f>IF(Table248[[#This Row],[Plug Depth
Plan
(m)]]&lt;&gt;0,1,0)</f>
        <v>0</v>
      </c>
      <c r="Z23" s="39"/>
      <c r="AA23" s="40" t="str">
        <f>IF(Table248[[#This Row],[Plug Depth
Plan
(m)]]=0,"",ABS(Table248[[#This Row],[Plug Depth
Plan
(m)]]-Table248[[#This Row],[MD
(m)]]))</f>
        <v/>
      </c>
    </row>
    <row r="24" spans="1:27" ht="16" thickBot="1" x14ac:dyDescent="0.25">
      <c r="A24" s="2">
        <v>634</v>
      </c>
      <c r="B24" s="1">
        <v>634</v>
      </c>
      <c r="C24" s="2">
        <v>0.16</v>
      </c>
      <c r="D24" s="2">
        <v>183.73</v>
      </c>
      <c r="E24" s="2">
        <v>0.15</v>
      </c>
      <c r="F24" s="1">
        <v>-0.31</v>
      </c>
      <c r="G24" s="1">
        <v>0.37</v>
      </c>
      <c r="H24" s="1">
        <v>0.13</v>
      </c>
      <c r="I24" s="1">
        <v>65.56</v>
      </c>
      <c r="J24" s="7">
        <v>634</v>
      </c>
      <c r="K24" s="3">
        <v>634</v>
      </c>
      <c r="L24" s="3">
        <v>0.16</v>
      </c>
      <c r="M24" s="3">
        <v>183.73</v>
      </c>
      <c r="N24" s="8">
        <v>0.15</v>
      </c>
      <c r="O24" s="50">
        <v>-0.31</v>
      </c>
      <c r="P24" s="50">
        <v>0.37</v>
      </c>
      <c r="Q24" s="50">
        <v>0.13</v>
      </c>
      <c r="R24" s="50">
        <v>65.56</v>
      </c>
      <c r="S24" s="39"/>
      <c r="T24" s="39"/>
      <c r="U24" s="39"/>
      <c r="V24" s="39"/>
      <c r="W24" s="37" cm="1">
        <f t="array" ref="W24">CheckYellowFill(Table248[[#This Row],[MD
(m)]])</f>
        <v>0</v>
      </c>
      <c r="X24" s="39" cm="1">
        <f t="array" ref="X24">isfontcolorred(Table248[[#This Row],[MD
(m)]])</f>
        <v>0</v>
      </c>
      <c r="Y24" s="37">
        <f>IF(Table248[[#This Row],[Plug Depth
Plan
(m)]]&lt;&gt;0,1,0)</f>
        <v>0</v>
      </c>
      <c r="Z24" s="39"/>
      <c r="AA24" s="40" t="str">
        <f>IF(Table248[[#This Row],[Plug Depth
Plan
(m)]]=0,"",ABS(Table248[[#This Row],[Plug Depth
Plan
(m)]]-Table248[[#This Row],[MD
(m)]]))</f>
        <v/>
      </c>
    </row>
    <row r="25" spans="1:27" ht="16" thickBot="1" x14ac:dyDescent="0.25">
      <c r="A25" s="2">
        <v>663.09</v>
      </c>
      <c r="B25" s="1">
        <v>663.08</v>
      </c>
      <c r="C25" s="2">
        <v>0.13</v>
      </c>
      <c r="D25" s="2">
        <v>178.81</v>
      </c>
      <c r="E25" s="2">
        <v>0.03</v>
      </c>
      <c r="F25" s="1">
        <v>-0.38</v>
      </c>
      <c r="G25" s="1">
        <v>0.37</v>
      </c>
      <c r="H25" s="1">
        <v>-0.03</v>
      </c>
      <c r="I25" s="1">
        <v>-5.07</v>
      </c>
      <c r="J25" s="7">
        <v>663.09</v>
      </c>
      <c r="K25" s="3">
        <v>663.08</v>
      </c>
      <c r="L25" s="3">
        <v>0.13</v>
      </c>
      <c r="M25" s="3">
        <v>178.81</v>
      </c>
      <c r="N25" s="8">
        <v>0.03</v>
      </c>
      <c r="O25" s="50">
        <v>-0.38</v>
      </c>
      <c r="P25" s="50">
        <v>0.37</v>
      </c>
      <c r="Q25" s="50">
        <v>-0.03</v>
      </c>
      <c r="R25" s="50">
        <v>-5.07</v>
      </c>
      <c r="S25" s="39"/>
      <c r="T25" s="39"/>
      <c r="U25" s="39"/>
      <c r="V25" s="39"/>
      <c r="W25" s="37" cm="1">
        <f t="array" ref="W25">CheckYellowFill(Table248[[#This Row],[MD
(m)]])</f>
        <v>0</v>
      </c>
      <c r="X25" s="39" cm="1">
        <f t="array" ref="X25">isfontcolorred(Table248[[#This Row],[MD
(m)]])</f>
        <v>0</v>
      </c>
      <c r="Y25" s="37">
        <f>IF(Table248[[#This Row],[Plug Depth
Plan
(m)]]&lt;&gt;0,1,0)</f>
        <v>0</v>
      </c>
      <c r="Z25" s="39"/>
      <c r="AA25" s="40" t="str">
        <f>IF(Table248[[#This Row],[Plug Depth
Plan
(m)]]=0,"",ABS(Table248[[#This Row],[Plug Depth
Plan
(m)]]-Table248[[#This Row],[MD
(m)]]))</f>
        <v/>
      </c>
    </row>
    <row r="26" spans="1:27" ht="16" thickBot="1" x14ac:dyDescent="0.25">
      <c r="A26" s="2">
        <v>692.15</v>
      </c>
      <c r="B26" s="1">
        <v>692.14</v>
      </c>
      <c r="C26" s="2">
        <v>0.11</v>
      </c>
      <c r="D26" s="2">
        <v>94.09</v>
      </c>
      <c r="E26" s="2">
        <v>0.17</v>
      </c>
      <c r="F26" s="1">
        <v>-0.42</v>
      </c>
      <c r="G26" s="1">
        <v>0.4</v>
      </c>
      <c r="H26" s="1">
        <v>-0.02</v>
      </c>
      <c r="I26" s="1">
        <v>-87.46</v>
      </c>
      <c r="J26" s="7">
        <v>692.15</v>
      </c>
      <c r="K26" s="3">
        <v>692.14</v>
      </c>
      <c r="L26" s="3">
        <v>0.11</v>
      </c>
      <c r="M26" s="3">
        <v>94.09</v>
      </c>
      <c r="N26" s="8">
        <v>0.17</v>
      </c>
      <c r="O26" s="50">
        <v>-0.42</v>
      </c>
      <c r="P26" s="50">
        <v>0.4</v>
      </c>
      <c r="Q26" s="50">
        <v>-0.02</v>
      </c>
      <c r="R26" s="50">
        <v>-87.46</v>
      </c>
      <c r="S26" s="39"/>
      <c r="T26" s="39"/>
      <c r="U26" s="39"/>
      <c r="V26" s="39"/>
      <c r="W26" s="37" cm="1">
        <f t="array" ref="W26">CheckYellowFill(Table248[[#This Row],[MD
(m)]])</f>
        <v>0</v>
      </c>
      <c r="X26" s="39" cm="1">
        <f t="array" ref="X26">isfontcolorred(Table248[[#This Row],[MD
(m)]])</f>
        <v>0</v>
      </c>
      <c r="Y26" s="37">
        <f>IF(Table248[[#This Row],[Plug Depth
Plan
(m)]]&lt;&gt;0,1,0)</f>
        <v>0</v>
      </c>
      <c r="Z26" s="39"/>
      <c r="AA26" s="40" t="str">
        <f>IF(Table248[[#This Row],[Plug Depth
Plan
(m)]]=0,"",ABS(Table248[[#This Row],[Plug Depth
Plan
(m)]]-Table248[[#This Row],[MD
(m)]]))</f>
        <v/>
      </c>
    </row>
    <row r="27" spans="1:27" ht="16" thickBot="1" x14ac:dyDescent="0.25">
      <c r="A27" s="2">
        <v>720.93</v>
      </c>
      <c r="B27" s="1">
        <v>720.92</v>
      </c>
      <c r="C27" s="2">
        <v>0.18</v>
      </c>
      <c r="D27" s="2">
        <v>16.61</v>
      </c>
      <c r="E27" s="2">
        <v>0.2</v>
      </c>
      <c r="F27" s="1">
        <v>-0.38</v>
      </c>
      <c r="G27" s="1">
        <v>0.44</v>
      </c>
      <c r="H27" s="1">
        <v>7.0000000000000007E-2</v>
      </c>
      <c r="I27" s="1">
        <v>-80.760000000000005</v>
      </c>
      <c r="J27" s="7">
        <v>720.93</v>
      </c>
      <c r="K27" s="3">
        <v>720.92</v>
      </c>
      <c r="L27" s="3">
        <v>0.18</v>
      </c>
      <c r="M27" s="3">
        <v>16.61</v>
      </c>
      <c r="N27" s="8">
        <v>0.2</v>
      </c>
      <c r="O27" s="50">
        <v>-0.38</v>
      </c>
      <c r="P27" s="50">
        <v>0.44</v>
      </c>
      <c r="Q27" s="50">
        <v>7.0000000000000007E-2</v>
      </c>
      <c r="R27" s="50">
        <v>-80.760000000000005</v>
      </c>
      <c r="S27" s="39"/>
      <c r="T27" s="39"/>
      <c r="U27" s="39"/>
      <c r="V27" s="39"/>
      <c r="W27" s="37" cm="1">
        <f t="array" ref="W27">CheckYellowFill(Table248[[#This Row],[MD
(m)]])</f>
        <v>0</v>
      </c>
      <c r="X27" s="39" cm="1">
        <f t="array" ref="X27">isfontcolorred(Table248[[#This Row],[MD
(m)]])</f>
        <v>0</v>
      </c>
      <c r="Y27" s="37">
        <f>IF(Table248[[#This Row],[Plug Depth
Plan
(m)]]&lt;&gt;0,1,0)</f>
        <v>0</v>
      </c>
      <c r="Z27" s="39"/>
      <c r="AA27" s="40" t="str">
        <f>IF(Table248[[#This Row],[Plug Depth
Plan
(m)]]=0,"",ABS(Table248[[#This Row],[Plug Depth
Plan
(m)]]-Table248[[#This Row],[MD
(m)]]))</f>
        <v/>
      </c>
    </row>
    <row r="28" spans="1:27" ht="16" thickBot="1" x14ac:dyDescent="0.25">
      <c r="A28" s="2">
        <v>742.79</v>
      </c>
      <c r="B28" s="1">
        <v>742.78</v>
      </c>
      <c r="C28" s="2">
        <v>0.17</v>
      </c>
      <c r="D28" s="2">
        <v>20.97</v>
      </c>
      <c r="E28" s="2">
        <v>0.02</v>
      </c>
      <c r="F28" s="1">
        <v>-0.31</v>
      </c>
      <c r="G28" s="1">
        <v>0.46</v>
      </c>
      <c r="H28" s="1">
        <v>-0.01</v>
      </c>
      <c r="I28" s="1">
        <v>5.98</v>
      </c>
      <c r="J28" s="7">
        <v>742.79</v>
      </c>
      <c r="K28" s="3">
        <v>742.78</v>
      </c>
      <c r="L28" s="3">
        <v>0.17</v>
      </c>
      <c r="M28" s="3">
        <v>20.97</v>
      </c>
      <c r="N28" s="8">
        <v>0.02</v>
      </c>
      <c r="O28" s="50">
        <v>-0.31</v>
      </c>
      <c r="P28" s="50">
        <v>0.46</v>
      </c>
      <c r="Q28" s="50">
        <v>-0.01</v>
      </c>
      <c r="R28" s="50">
        <v>6.32</v>
      </c>
      <c r="S28" s="39"/>
      <c r="T28" s="39"/>
      <c r="U28" s="39"/>
      <c r="V28" s="39"/>
      <c r="W28" s="37" cm="1">
        <f t="array" ref="W28">CheckYellowFill(Table248[[#This Row],[MD
(m)]])</f>
        <v>0</v>
      </c>
      <c r="X28" s="39" cm="1">
        <f t="array" ref="X28">isfontcolorred(Table248[[#This Row],[MD
(m)]])</f>
        <v>0</v>
      </c>
      <c r="Y28" s="37">
        <f>IF(Table248[[#This Row],[Plug Depth
Plan
(m)]]&lt;&gt;0,1,0)</f>
        <v>0</v>
      </c>
      <c r="Z28" s="39"/>
      <c r="AA28" s="40" t="str">
        <f>IF(Table248[[#This Row],[Plug Depth
Plan
(m)]]=0,"",ABS(Table248[[#This Row],[Plug Depth
Plan
(m)]]-Table248[[#This Row],[MD
(m)]]))</f>
        <v/>
      </c>
    </row>
    <row r="29" spans="1:27" ht="16" thickBot="1" x14ac:dyDescent="0.25">
      <c r="A29" s="2">
        <v>773.92</v>
      </c>
      <c r="B29" s="1">
        <v>773.91</v>
      </c>
      <c r="C29" s="2">
        <v>0.43</v>
      </c>
      <c r="D29" s="2">
        <v>345.37</v>
      </c>
      <c r="E29" s="2">
        <v>0.3</v>
      </c>
      <c r="F29" s="1">
        <v>-0.16</v>
      </c>
      <c r="G29" s="1">
        <v>0.45</v>
      </c>
      <c r="H29" s="1">
        <v>0.25</v>
      </c>
      <c r="I29" s="1">
        <v>-34.31</v>
      </c>
      <c r="J29" s="7">
        <v>773.92</v>
      </c>
      <c r="K29" s="3">
        <v>773.91</v>
      </c>
      <c r="L29" s="3">
        <v>0.43</v>
      </c>
      <c r="M29" s="3">
        <v>345.37</v>
      </c>
      <c r="N29" s="8">
        <v>0.3</v>
      </c>
      <c r="O29" s="50">
        <v>-0.16</v>
      </c>
      <c r="P29" s="50">
        <v>0.45</v>
      </c>
      <c r="Q29" s="50">
        <v>0.25</v>
      </c>
      <c r="R29" s="50">
        <v>-34.31</v>
      </c>
      <c r="S29" s="39"/>
      <c r="T29" s="39"/>
      <c r="U29" s="39"/>
      <c r="V29" s="39"/>
      <c r="W29" s="37" cm="1">
        <f t="array" ref="W29">CheckYellowFill(Table248[[#This Row],[MD
(m)]])</f>
        <v>0</v>
      </c>
      <c r="X29" s="39" cm="1">
        <f t="array" ref="X29">isfontcolorred(Table248[[#This Row],[MD
(m)]])</f>
        <v>0</v>
      </c>
      <c r="Y29" s="37">
        <f>IF(Table248[[#This Row],[Plug Depth
Plan
(m)]]&lt;&gt;0,1,0)</f>
        <v>0</v>
      </c>
      <c r="Z29" s="39"/>
      <c r="AA29" s="40" t="str">
        <f>IF(Table248[[#This Row],[Plug Depth
Plan
(m)]]=0,"",ABS(Table248[[#This Row],[Plug Depth
Plan
(m)]]-Table248[[#This Row],[MD
(m)]]))</f>
        <v/>
      </c>
    </row>
    <row r="30" spans="1:27" ht="16" thickBot="1" x14ac:dyDescent="0.25">
      <c r="A30" s="2">
        <v>802.87</v>
      </c>
      <c r="B30" s="1">
        <v>802.86</v>
      </c>
      <c r="C30" s="2">
        <v>0.83</v>
      </c>
      <c r="D30" s="2">
        <v>75.650000000000006</v>
      </c>
      <c r="E30" s="2">
        <v>0.97</v>
      </c>
      <c r="F30" s="1">
        <v>0</v>
      </c>
      <c r="G30" s="1">
        <v>0.63</v>
      </c>
      <c r="H30" s="1">
        <v>0.41</v>
      </c>
      <c r="I30" s="1">
        <v>93.55</v>
      </c>
      <c r="J30" s="7">
        <v>802.87</v>
      </c>
      <c r="K30" s="3">
        <v>802.86</v>
      </c>
      <c r="L30" s="3">
        <v>0.83</v>
      </c>
      <c r="M30" s="3">
        <v>75.650000000000006</v>
      </c>
      <c r="N30" s="8">
        <v>0.97</v>
      </c>
      <c r="O30" s="50">
        <v>0</v>
      </c>
      <c r="P30" s="50">
        <v>0.63</v>
      </c>
      <c r="Q30" s="50">
        <v>0.41</v>
      </c>
      <c r="R30" s="50">
        <v>93.55</v>
      </c>
      <c r="S30" s="39"/>
      <c r="T30" s="39"/>
      <c r="U30" s="39"/>
      <c r="V30" s="39"/>
      <c r="W30" s="37" cm="1">
        <f t="array" ref="W30">CheckYellowFill(Table248[[#This Row],[MD
(m)]])</f>
        <v>0</v>
      </c>
      <c r="X30" s="39" cm="1">
        <f t="array" ref="X30">isfontcolorred(Table248[[#This Row],[MD
(m)]])</f>
        <v>0</v>
      </c>
      <c r="Y30" s="37">
        <f>IF(Table248[[#This Row],[Plug Depth
Plan
(m)]]&lt;&gt;0,1,0)</f>
        <v>0</v>
      </c>
      <c r="Z30" s="39"/>
      <c r="AA30" s="40" t="str">
        <f>IF(Table248[[#This Row],[Plug Depth
Plan
(m)]]=0,"",ABS(Table248[[#This Row],[Plug Depth
Plan
(m)]]-Table248[[#This Row],[MD
(m)]]))</f>
        <v/>
      </c>
    </row>
    <row r="31" spans="1:27" ht="16" thickBot="1" x14ac:dyDescent="0.25">
      <c r="A31" s="2">
        <v>832.04</v>
      </c>
      <c r="B31" s="1">
        <v>832.02</v>
      </c>
      <c r="C31" s="2">
        <v>2.27</v>
      </c>
      <c r="D31" s="2">
        <v>84.68</v>
      </c>
      <c r="E31" s="2">
        <v>1.5</v>
      </c>
      <c r="F31" s="1">
        <v>0.1</v>
      </c>
      <c r="G31" s="1">
        <v>1.41</v>
      </c>
      <c r="H31" s="1">
        <v>1.48</v>
      </c>
      <c r="I31" s="1">
        <v>9.2899999999999991</v>
      </c>
      <c r="J31" s="7">
        <v>832.04</v>
      </c>
      <c r="K31" s="3">
        <v>832.02</v>
      </c>
      <c r="L31" s="3">
        <v>2.27</v>
      </c>
      <c r="M31" s="3">
        <v>84.68</v>
      </c>
      <c r="N31" s="8">
        <v>1.5</v>
      </c>
      <c r="O31" s="50">
        <v>0.1</v>
      </c>
      <c r="P31" s="50">
        <v>1.41</v>
      </c>
      <c r="Q31" s="50">
        <v>1.48</v>
      </c>
      <c r="R31" s="50">
        <v>9.2899999999999991</v>
      </c>
      <c r="S31" s="39"/>
      <c r="T31" s="39"/>
      <c r="U31" s="39"/>
      <c r="V31" s="39"/>
      <c r="W31" s="37" cm="1">
        <f t="array" ref="W31">CheckYellowFill(Table248[[#This Row],[MD
(m)]])</f>
        <v>0</v>
      </c>
      <c r="X31" s="39" cm="1">
        <f t="array" ref="X31">isfontcolorred(Table248[[#This Row],[MD
(m)]])</f>
        <v>0</v>
      </c>
      <c r="Y31" s="37">
        <f>IF(Table248[[#This Row],[Plug Depth
Plan
(m)]]&lt;&gt;0,1,0)</f>
        <v>0</v>
      </c>
      <c r="Z31" s="39"/>
      <c r="AA31" s="40" t="str">
        <f>IF(Table248[[#This Row],[Plug Depth
Plan
(m)]]=0,"",ABS(Table248[[#This Row],[Plug Depth
Plan
(m)]]-Table248[[#This Row],[MD
(m)]]))</f>
        <v/>
      </c>
    </row>
    <row r="32" spans="1:27" ht="16" thickBot="1" x14ac:dyDescent="0.25">
      <c r="A32" s="2">
        <v>861.02</v>
      </c>
      <c r="B32" s="1">
        <v>860.96</v>
      </c>
      <c r="C32" s="2">
        <v>3.76</v>
      </c>
      <c r="D32" s="2">
        <v>85.92</v>
      </c>
      <c r="E32" s="2">
        <v>1.54</v>
      </c>
      <c r="F32" s="1">
        <v>0.23</v>
      </c>
      <c r="G32" s="1">
        <v>2.92</v>
      </c>
      <c r="H32" s="1">
        <v>1.54</v>
      </c>
      <c r="I32" s="1">
        <v>1.28</v>
      </c>
      <c r="J32" s="7">
        <v>861.02</v>
      </c>
      <c r="K32" s="3">
        <v>860.96</v>
      </c>
      <c r="L32" s="3">
        <v>3.76</v>
      </c>
      <c r="M32" s="3">
        <v>85.92</v>
      </c>
      <c r="N32" s="8">
        <v>1.54</v>
      </c>
      <c r="O32" s="50">
        <v>0.23</v>
      </c>
      <c r="P32" s="50">
        <v>2.92</v>
      </c>
      <c r="Q32" s="50">
        <v>1.54</v>
      </c>
      <c r="R32" s="50">
        <v>1.28</v>
      </c>
      <c r="S32" s="39"/>
      <c r="T32" s="39"/>
      <c r="U32" s="39"/>
      <c r="V32" s="39"/>
      <c r="W32" s="37" cm="1">
        <f t="array" ref="W32">CheckYellowFill(Table248[[#This Row],[MD
(m)]])</f>
        <v>0</v>
      </c>
      <c r="X32" s="39" cm="1">
        <f t="array" ref="X32">isfontcolorred(Table248[[#This Row],[MD
(m)]])</f>
        <v>0</v>
      </c>
      <c r="Y32" s="37">
        <f>IF(Table248[[#This Row],[Plug Depth
Plan
(m)]]&lt;&gt;0,1,0)</f>
        <v>0</v>
      </c>
      <c r="Z32" s="39"/>
      <c r="AA32" s="40" t="str">
        <f>IF(Table248[[#This Row],[Plug Depth
Plan
(m)]]=0,"",ABS(Table248[[#This Row],[Plug Depth
Plan
(m)]]-Table248[[#This Row],[MD
(m)]]))</f>
        <v/>
      </c>
    </row>
    <row r="33" spans="1:27" ht="16" thickBot="1" x14ac:dyDescent="0.25">
      <c r="A33" s="2">
        <v>889.93</v>
      </c>
      <c r="B33" s="1">
        <v>889.78</v>
      </c>
      <c r="C33" s="2">
        <v>5.4</v>
      </c>
      <c r="D33" s="2">
        <v>91.13</v>
      </c>
      <c r="E33" s="2">
        <v>1.75</v>
      </c>
      <c r="F33" s="1">
        <v>0.27</v>
      </c>
      <c r="G33" s="1">
        <v>5.23</v>
      </c>
      <c r="H33" s="1">
        <v>1.7</v>
      </c>
      <c r="I33" s="1">
        <v>5.41</v>
      </c>
      <c r="J33" s="7">
        <v>889.93</v>
      </c>
      <c r="K33" s="3">
        <v>889.78</v>
      </c>
      <c r="L33" s="3">
        <v>5.4</v>
      </c>
      <c r="M33" s="3">
        <v>91.13</v>
      </c>
      <c r="N33" s="8">
        <v>1.75</v>
      </c>
      <c r="O33" s="50">
        <v>0.27</v>
      </c>
      <c r="P33" s="50">
        <v>5.23</v>
      </c>
      <c r="Q33" s="50">
        <v>1.7</v>
      </c>
      <c r="R33" s="50">
        <v>5.41</v>
      </c>
      <c r="S33" s="39"/>
      <c r="T33" s="39"/>
      <c r="U33" s="39"/>
      <c r="V33" s="39"/>
      <c r="W33" s="37" cm="1">
        <f t="array" ref="W33">CheckYellowFill(Table248[[#This Row],[MD
(m)]])</f>
        <v>0</v>
      </c>
      <c r="X33" s="39" cm="1">
        <f t="array" ref="X33">isfontcolorred(Table248[[#This Row],[MD
(m)]])</f>
        <v>0</v>
      </c>
      <c r="Y33" s="37">
        <f>IF(Table248[[#This Row],[Plug Depth
Plan
(m)]]&lt;&gt;0,1,0)</f>
        <v>0</v>
      </c>
      <c r="Z33" s="39"/>
      <c r="AA33" s="40" t="str">
        <f>IF(Table248[[#This Row],[Plug Depth
Plan
(m)]]=0,"",ABS(Table248[[#This Row],[Plug Depth
Plan
(m)]]-Table248[[#This Row],[MD
(m)]]))</f>
        <v/>
      </c>
    </row>
    <row r="34" spans="1:27" ht="16" thickBot="1" x14ac:dyDescent="0.25">
      <c r="A34" s="2">
        <v>918.8</v>
      </c>
      <c r="B34" s="1">
        <v>918.48</v>
      </c>
      <c r="C34" s="2">
        <v>6.92</v>
      </c>
      <c r="D34" s="2">
        <v>90.49</v>
      </c>
      <c r="E34" s="2">
        <v>1.58</v>
      </c>
      <c r="F34" s="1">
        <v>0.22</v>
      </c>
      <c r="G34" s="1">
        <v>8.33</v>
      </c>
      <c r="H34" s="1">
        <v>1.58</v>
      </c>
      <c r="I34" s="1">
        <v>-0.67</v>
      </c>
      <c r="J34" s="7">
        <v>918.8</v>
      </c>
      <c r="K34" s="3">
        <v>918.48</v>
      </c>
      <c r="L34" s="3">
        <v>6.92</v>
      </c>
      <c r="M34" s="3">
        <v>90.49</v>
      </c>
      <c r="N34" s="8">
        <v>1.58</v>
      </c>
      <c r="O34" s="50">
        <v>0.22</v>
      </c>
      <c r="P34" s="50">
        <v>8.33</v>
      </c>
      <c r="Q34" s="50">
        <v>1.58</v>
      </c>
      <c r="R34" s="50">
        <v>-0.67</v>
      </c>
      <c r="S34" s="39"/>
      <c r="T34" s="39"/>
      <c r="U34" s="39"/>
      <c r="V34" s="39"/>
      <c r="W34" s="37" cm="1">
        <f t="array" ref="W34">CheckYellowFill(Table248[[#This Row],[MD
(m)]])</f>
        <v>0</v>
      </c>
      <c r="X34" s="39" cm="1">
        <f t="array" ref="X34">isfontcolorred(Table248[[#This Row],[MD
(m)]])</f>
        <v>0</v>
      </c>
      <c r="Y34" s="37">
        <f>IF(Table248[[#This Row],[Plug Depth
Plan
(m)]]&lt;&gt;0,1,0)</f>
        <v>0</v>
      </c>
      <c r="Z34" s="39"/>
      <c r="AA34" s="40" t="str">
        <f>IF(Table248[[#This Row],[Plug Depth
Plan
(m)]]=0,"",ABS(Table248[[#This Row],[Plug Depth
Plan
(m)]]-Table248[[#This Row],[MD
(m)]]))</f>
        <v/>
      </c>
    </row>
    <row r="35" spans="1:27" ht="16" thickBot="1" x14ac:dyDescent="0.25">
      <c r="A35" s="2">
        <v>947.97</v>
      </c>
      <c r="B35" s="1">
        <v>947.39</v>
      </c>
      <c r="C35" s="2">
        <v>8.24</v>
      </c>
      <c r="D35" s="2">
        <v>90.62</v>
      </c>
      <c r="E35" s="2">
        <v>1.36</v>
      </c>
      <c r="F35" s="1">
        <v>0.19</v>
      </c>
      <c r="G35" s="1">
        <v>12.18</v>
      </c>
      <c r="H35" s="1">
        <v>1.36</v>
      </c>
      <c r="I35" s="1">
        <v>0.13</v>
      </c>
      <c r="J35" s="7">
        <v>947.97</v>
      </c>
      <c r="K35" s="3">
        <v>947.39</v>
      </c>
      <c r="L35" s="3">
        <v>8.24</v>
      </c>
      <c r="M35" s="3">
        <v>90.62</v>
      </c>
      <c r="N35" s="8">
        <v>1.36</v>
      </c>
      <c r="O35" s="50">
        <v>0.19</v>
      </c>
      <c r="P35" s="50">
        <v>12.18</v>
      </c>
      <c r="Q35" s="50">
        <v>1.36</v>
      </c>
      <c r="R35" s="50">
        <v>0.13</v>
      </c>
      <c r="S35" s="39"/>
      <c r="T35" s="39"/>
      <c r="U35" s="39"/>
      <c r="V35" s="39"/>
      <c r="W35" s="37" cm="1">
        <f t="array" ref="W35">CheckYellowFill(Table248[[#This Row],[MD
(m)]])</f>
        <v>0</v>
      </c>
      <c r="X35" s="39" cm="1">
        <f t="array" ref="X35">isfontcolorred(Table248[[#This Row],[MD
(m)]])</f>
        <v>0</v>
      </c>
      <c r="Y35" s="37">
        <f>IF(Table248[[#This Row],[Plug Depth
Plan
(m)]]&lt;&gt;0,1,0)</f>
        <v>0</v>
      </c>
      <c r="Z35" s="39"/>
      <c r="AA35" s="40" t="str">
        <f>IF(Table248[[#This Row],[Plug Depth
Plan
(m)]]=0,"",ABS(Table248[[#This Row],[Plug Depth
Plan
(m)]]-Table248[[#This Row],[MD
(m)]]))</f>
        <v/>
      </c>
    </row>
    <row r="36" spans="1:27" ht="16" thickBot="1" x14ac:dyDescent="0.25">
      <c r="A36" s="2">
        <v>977.14</v>
      </c>
      <c r="B36" s="1">
        <v>976.21</v>
      </c>
      <c r="C36" s="2">
        <v>9.73</v>
      </c>
      <c r="D36" s="2">
        <v>88.53</v>
      </c>
      <c r="E36" s="2">
        <v>1.57</v>
      </c>
      <c r="F36" s="1">
        <v>0.23</v>
      </c>
      <c r="G36" s="1">
        <v>16.73</v>
      </c>
      <c r="H36" s="1">
        <v>1.53</v>
      </c>
      <c r="I36" s="1">
        <v>-2.15</v>
      </c>
      <c r="J36" s="7">
        <v>977.14</v>
      </c>
      <c r="K36" s="3">
        <v>976.21</v>
      </c>
      <c r="L36" s="3">
        <v>9.73</v>
      </c>
      <c r="M36" s="3">
        <v>88.53</v>
      </c>
      <c r="N36" s="8">
        <v>1.57</v>
      </c>
      <c r="O36" s="50">
        <v>0.23</v>
      </c>
      <c r="P36" s="50">
        <v>16.73</v>
      </c>
      <c r="Q36" s="50">
        <v>1.53</v>
      </c>
      <c r="R36" s="50">
        <v>-2.15</v>
      </c>
      <c r="S36" s="39"/>
      <c r="T36" s="39"/>
      <c r="U36" s="39"/>
      <c r="V36" s="39"/>
      <c r="W36" s="37" cm="1">
        <f t="array" ref="W36">CheckYellowFill(Table248[[#This Row],[MD
(m)]])</f>
        <v>0</v>
      </c>
      <c r="X36" s="39" cm="1">
        <f t="array" ref="X36">isfontcolorred(Table248[[#This Row],[MD
(m)]])</f>
        <v>0</v>
      </c>
      <c r="Y36" s="37">
        <f>IF(Table248[[#This Row],[Plug Depth
Plan
(m)]]&lt;&gt;0,1,0)</f>
        <v>0</v>
      </c>
      <c r="Z36" s="39"/>
      <c r="AA36" s="40" t="str">
        <f>IF(Table248[[#This Row],[Plug Depth
Plan
(m)]]=0,"",ABS(Table248[[#This Row],[Plug Depth
Plan
(m)]]-Table248[[#This Row],[MD
(m)]]))</f>
        <v/>
      </c>
    </row>
    <row r="37" spans="1:27" ht="16" thickBot="1" x14ac:dyDescent="0.25">
      <c r="A37" s="2">
        <v>1006.39</v>
      </c>
      <c r="B37" s="1">
        <v>1004.96</v>
      </c>
      <c r="C37" s="2">
        <v>11.43</v>
      </c>
      <c r="D37" s="2">
        <v>85.67</v>
      </c>
      <c r="E37" s="2">
        <v>1.82</v>
      </c>
      <c r="F37" s="1">
        <v>0.51</v>
      </c>
      <c r="G37" s="1">
        <v>22.09</v>
      </c>
      <c r="H37" s="1">
        <v>1.74</v>
      </c>
      <c r="I37" s="1">
        <v>-2.93</v>
      </c>
      <c r="J37" s="7">
        <v>1006.39</v>
      </c>
      <c r="K37" s="3">
        <v>1004.96</v>
      </c>
      <c r="L37" s="3">
        <v>11.43</v>
      </c>
      <c r="M37" s="3">
        <v>85.67</v>
      </c>
      <c r="N37" s="8">
        <v>1.82</v>
      </c>
      <c r="O37" s="50">
        <v>0.51</v>
      </c>
      <c r="P37" s="50">
        <v>22.09</v>
      </c>
      <c r="Q37" s="50">
        <v>1.74</v>
      </c>
      <c r="R37" s="50">
        <v>-2.93</v>
      </c>
      <c r="S37" s="39"/>
      <c r="T37" s="39"/>
      <c r="U37" s="39"/>
      <c r="V37" s="39"/>
      <c r="W37" s="37" cm="1">
        <f t="array" ref="W37">CheckYellowFill(Table248[[#This Row],[MD
(m)]])</f>
        <v>0</v>
      </c>
      <c r="X37" s="39" cm="1">
        <f t="array" ref="X37">isfontcolorred(Table248[[#This Row],[MD
(m)]])</f>
        <v>0</v>
      </c>
      <c r="Y37" s="37">
        <f>IF(Table248[[#This Row],[Plug Depth
Plan
(m)]]&lt;&gt;0,1,0)</f>
        <v>0</v>
      </c>
      <c r="Z37" s="39"/>
      <c r="AA37" s="40" t="str">
        <f>IF(Table248[[#This Row],[Plug Depth
Plan
(m)]]=0,"",ABS(Table248[[#This Row],[Plug Depth
Plan
(m)]]-Table248[[#This Row],[MD
(m)]]))</f>
        <v/>
      </c>
    </row>
    <row r="38" spans="1:27" ht="16" thickBot="1" x14ac:dyDescent="0.25">
      <c r="A38" s="2">
        <v>1035.49</v>
      </c>
      <c r="B38" s="1">
        <v>1033.4100000000001</v>
      </c>
      <c r="C38" s="2">
        <v>12.74</v>
      </c>
      <c r="D38" s="2">
        <v>87.2</v>
      </c>
      <c r="E38" s="2">
        <v>1.39</v>
      </c>
      <c r="F38" s="1">
        <v>0.88</v>
      </c>
      <c r="G38" s="1">
        <v>28.17</v>
      </c>
      <c r="H38" s="1">
        <v>1.35</v>
      </c>
      <c r="I38" s="1">
        <v>1.58</v>
      </c>
      <c r="J38" s="7">
        <v>1035.49</v>
      </c>
      <c r="K38" s="3">
        <v>1033.4100000000001</v>
      </c>
      <c r="L38" s="3">
        <v>12.74</v>
      </c>
      <c r="M38" s="3">
        <v>87.2</v>
      </c>
      <c r="N38" s="8">
        <v>1.39</v>
      </c>
      <c r="O38" s="50">
        <v>0.88</v>
      </c>
      <c r="P38" s="50">
        <v>28.17</v>
      </c>
      <c r="Q38" s="50">
        <v>1.35</v>
      </c>
      <c r="R38" s="50">
        <v>1.58</v>
      </c>
      <c r="S38" s="39"/>
      <c r="T38" s="39"/>
      <c r="U38" s="39"/>
      <c r="V38" s="39"/>
      <c r="W38" s="37" cm="1">
        <f t="array" ref="W38">CheckYellowFill(Table248[[#This Row],[MD
(m)]])</f>
        <v>0</v>
      </c>
      <c r="X38" s="39" cm="1">
        <f t="array" ref="X38">isfontcolorred(Table248[[#This Row],[MD
(m)]])</f>
        <v>0</v>
      </c>
      <c r="Y38" s="37">
        <f>IF(Table248[[#This Row],[Plug Depth
Plan
(m)]]&lt;&gt;0,1,0)</f>
        <v>0</v>
      </c>
      <c r="Z38" s="39"/>
      <c r="AA38" s="40" t="str">
        <f>IF(Table248[[#This Row],[Plug Depth
Plan
(m)]]=0,"",ABS(Table248[[#This Row],[Plug Depth
Plan
(m)]]-Table248[[#This Row],[MD
(m)]]))</f>
        <v/>
      </c>
    </row>
    <row r="39" spans="1:27" ht="16" thickBot="1" x14ac:dyDescent="0.25">
      <c r="A39" s="2">
        <v>1064.6300000000001</v>
      </c>
      <c r="B39" s="1">
        <v>1061.78</v>
      </c>
      <c r="C39" s="2">
        <v>13.7</v>
      </c>
      <c r="D39" s="2">
        <v>89.46</v>
      </c>
      <c r="E39" s="2">
        <v>1.1200000000000001</v>
      </c>
      <c r="F39" s="1">
        <v>1.07</v>
      </c>
      <c r="G39" s="1">
        <v>34.83</v>
      </c>
      <c r="H39" s="1">
        <v>0.99</v>
      </c>
      <c r="I39" s="1">
        <v>2.33</v>
      </c>
      <c r="J39" s="7">
        <v>1064.6300000000001</v>
      </c>
      <c r="K39" s="3">
        <v>1061.78</v>
      </c>
      <c r="L39" s="3">
        <v>13.7</v>
      </c>
      <c r="M39" s="3">
        <v>89.46</v>
      </c>
      <c r="N39" s="8">
        <v>1.1200000000000001</v>
      </c>
      <c r="O39" s="50">
        <v>1.07</v>
      </c>
      <c r="P39" s="50">
        <v>34.83</v>
      </c>
      <c r="Q39" s="50">
        <v>0.99</v>
      </c>
      <c r="R39" s="50">
        <v>2.33</v>
      </c>
      <c r="S39" s="39"/>
      <c r="T39" s="41"/>
      <c r="U39" s="39"/>
      <c r="V39" s="41"/>
      <c r="W39" s="37" cm="1">
        <f t="array" ref="W39">CheckYellowFill(Table248[[#This Row],[MD
(m)]])</f>
        <v>0</v>
      </c>
      <c r="X39" s="39" cm="1">
        <f t="array" ref="X39">isfontcolorred(Table248[[#This Row],[MD
(m)]])</f>
        <v>0</v>
      </c>
      <c r="Y39" s="37">
        <f>IF(Table248[[#This Row],[Plug Depth
Plan
(m)]]&lt;&gt;0,1,0)</f>
        <v>0</v>
      </c>
      <c r="Z39" s="41"/>
      <c r="AA39" s="42" t="str">
        <f>IF(Table248[[#This Row],[Plug Depth
Plan
(m)]]=0,"",ABS(Table248[[#This Row],[Plug Depth
Plan
(m)]]-Table248[[#This Row],[MD
(m)]]))</f>
        <v/>
      </c>
    </row>
    <row r="40" spans="1:27" ht="16" thickBot="1" x14ac:dyDescent="0.25">
      <c r="A40" s="2">
        <v>1093.1300000000001</v>
      </c>
      <c r="B40" s="1">
        <v>1089.3800000000001</v>
      </c>
      <c r="C40" s="2">
        <v>15.16</v>
      </c>
      <c r="D40" s="2">
        <v>88.45</v>
      </c>
      <c r="E40" s="2">
        <v>1.56</v>
      </c>
      <c r="F40" s="1">
        <v>1.21</v>
      </c>
      <c r="G40" s="1">
        <v>41.93</v>
      </c>
      <c r="H40" s="1">
        <v>1.54</v>
      </c>
      <c r="I40" s="1">
        <v>-1.06</v>
      </c>
      <c r="J40" s="7">
        <v>1093.1300000000001</v>
      </c>
      <c r="K40" s="3">
        <v>1089.3800000000001</v>
      </c>
      <c r="L40" s="3">
        <v>15.16</v>
      </c>
      <c r="M40" s="3">
        <v>88.45</v>
      </c>
      <c r="N40" s="8">
        <v>1.56</v>
      </c>
      <c r="O40" s="50">
        <v>1.21</v>
      </c>
      <c r="P40" s="50">
        <v>41.93</v>
      </c>
      <c r="Q40" s="50">
        <v>1.54</v>
      </c>
      <c r="R40" s="50">
        <v>-1.06</v>
      </c>
      <c r="S40" s="39"/>
      <c r="T40" s="41"/>
      <c r="U40" s="39"/>
      <c r="V40" s="41"/>
      <c r="W40" s="37" cm="1">
        <f t="array" ref="W40">CheckYellowFill(Table248[[#This Row],[MD
(m)]])</f>
        <v>0</v>
      </c>
      <c r="X40" s="39" cm="1">
        <f t="array" ref="X40">isfontcolorred(Table248[[#This Row],[MD
(m)]])</f>
        <v>0</v>
      </c>
      <c r="Y40" s="37">
        <f>IF(Table248[[#This Row],[Plug Depth
Plan
(m)]]&lt;&gt;0,1,0)</f>
        <v>0</v>
      </c>
      <c r="Z40" s="41"/>
      <c r="AA40" s="42" t="str">
        <f>IF(Table248[[#This Row],[Plug Depth
Plan
(m)]]=0,"",ABS(Table248[[#This Row],[Plug Depth
Plan
(m)]]-Table248[[#This Row],[MD
(m)]]))</f>
        <v/>
      </c>
    </row>
    <row r="41" spans="1:27" ht="16" thickBot="1" x14ac:dyDescent="0.25">
      <c r="A41" s="2">
        <v>1122.24</v>
      </c>
      <c r="B41" s="1">
        <v>1117.3800000000001</v>
      </c>
      <c r="C41" s="2">
        <v>16.57</v>
      </c>
      <c r="D41" s="2">
        <v>85.2</v>
      </c>
      <c r="E41" s="2">
        <v>1.72</v>
      </c>
      <c r="F41" s="1">
        <v>1.66</v>
      </c>
      <c r="G41" s="1">
        <v>49.87</v>
      </c>
      <c r="H41" s="1">
        <v>1.45</v>
      </c>
      <c r="I41" s="1">
        <v>-3.35</v>
      </c>
      <c r="J41" s="7">
        <v>1122.24</v>
      </c>
      <c r="K41" s="3">
        <v>1117.3800000000001</v>
      </c>
      <c r="L41" s="3">
        <v>16.57</v>
      </c>
      <c r="M41" s="3">
        <v>85.2</v>
      </c>
      <c r="N41" s="8">
        <v>1.72</v>
      </c>
      <c r="O41" s="50">
        <v>1.66</v>
      </c>
      <c r="P41" s="50">
        <v>49.87</v>
      </c>
      <c r="Q41" s="50">
        <v>1.45</v>
      </c>
      <c r="R41" s="50">
        <v>-3.35</v>
      </c>
      <c r="S41" s="39"/>
      <c r="T41" s="41"/>
      <c r="U41" s="39"/>
      <c r="V41" s="41"/>
      <c r="W41" s="37" cm="1">
        <f t="array" ref="W41">CheckYellowFill(Table248[[#This Row],[MD
(m)]])</f>
        <v>0</v>
      </c>
      <c r="X41" s="39" cm="1">
        <f t="array" ref="X41">isfontcolorred(Table248[[#This Row],[MD
(m)]])</f>
        <v>0</v>
      </c>
      <c r="Y41" s="37">
        <f>IF(Table248[[#This Row],[Plug Depth
Plan
(m)]]&lt;&gt;0,1,0)</f>
        <v>0</v>
      </c>
      <c r="Z41" s="41"/>
      <c r="AA41" s="42" t="str">
        <f>IF(Table248[[#This Row],[Plug Depth
Plan
(m)]]=0,"",ABS(Table248[[#This Row],[Plug Depth
Plan
(m)]]-Table248[[#This Row],[MD
(m)]]))</f>
        <v/>
      </c>
    </row>
    <row r="42" spans="1:27" ht="16" thickBot="1" x14ac:dyDescent="0.25">
      <c r="A42" s="2">
        <v>1151.47</v>
      </c>
      <c r="B42" s="1">
        <v>1145.3499999999999</v>
      </c>
      <c r="C42" s="2">
        <v>17.23</v>
      </c>
      <c r="D42" s="2">
        <v>83.41</v>
      </c>
      <c r="E42" s="2">
        <v>0.86</v>
      </c>
      <c r="F42" s="1">
        <v>2.5</v>
      </c>
      <c r="G42" s="1">
        <v>58.33</v>
      </c>
      <c r="H42" s="1">
        <v>0.68</v>
      </c>
      <c r="I42" s="1">
        <v>-1.84</v>
      </c>
      <c r="J42" s="7">
        <v>1145.3499999999999</v>
      </c>
      <c r="K42" s="3">
        <v>1139.49</v>
      </c>
      <c r="L42" s="3">
        <v>17.23</v>
      </c>
      <c r="M42" s="3">
        <v>83.41</v>
      </c>
      <c r="N42" s="8">
        <v>1.0900000000000001</v>
      </c>
      <c r="O42" s="50">
        <v>2.33</v>
      </c>
      <c r="P42" s="50">
        <v>56.56</v>
      </c>
      <c r="Q42" s="50">
        <v>0.86</v>
      </c>
      <c r="R42" s="50">
        <v>-2.3199999999999998</v>
      </c>
      <c r="S42" s="39"/>
      <c r="T42" s="41"/>
      <c r="U42" s="39"/>
      <c r="V42" s="41"/>
      <c r="W42" s="37" cm="1">
        <f t="array" ref="W42">CheckYellowFill(Table248[[#This Row],[MD
(m)]])</f>
        <v>0</v>
      </c>
      <c r="X42" s="39" cm="1">
        <f t="array" ref="X42">isfontcolorred(Table248[[#This Row],[MD
(m)]])</f>
        <v>0</v>
      </c>
      <c r="Y42" s="37">
        <f>IF(Table248[[#This Row],[Plug Depth
Plan
(m)]]&lt;&gt;0,1,0)</f>
        <v>0</v>
      </c>
      <c r="Z42" s="41"/>
      <c r="AA42" s="42" t="str">
        <f>IF(Table248[[#This Row],[Plug Depth
Plan
(m)]]=0,"",ABS(Table248[[#This Row],[Plug Depth
Plan
(m)]]-Table248[[#This Row],[MD
(m)]]))</f>
        <v/>
      </c>
    </row>
    <row r="43" spans="1:27" ht="16" thickBot="1" x14ac:dyDescent="0.25">
      <c r="A43" s="2">
        <v>1179.9100000000001</v>
      </c>
      <c r="B43" s="1">
        <v>1172.51</v>
      </c>
      <c r="C43" s="2">
        <v>17.28</v>
      </c>
      <c r="D43" s="2">
        <v>82.78</v>
      </c>
      <c r="E43" s="2">
        <v>0.2</v>
      </c>
      <c r="F43" s="1">
        <v>3.52</v>
      </c>
      <c r="G43" s="1">
        <v>66.7</v>
      </c>
      <c r="H43" s="1">
        <v>0.05</v>
      </c>
      <c r="I43" s="1">
        <v>-0.66</v>
      </c>
      <c r="J43" s="7">
        <v>1172.51</v>
      </c>
      <c r="K43" s="3">
        <v>1165.43</v>
      </c>
      <c r="L43" s="3">
        <v>17.28</v>
      </c>
      <c r="M43" s="3">
        <v>82.78</v>
      </c>
      <c r="N43" s="8">
        <v>0.21</v>
      </c>
      <c r="O43" s="50">
        <v>3.29</v>
      </c>
      <c r="P43" s="50">
        <v>64.56</v>
      </c>
      <c r="Q43" s="50">
        <v>0.06</v>
      </c>
      <c r="R43" s="50">
        <v>-0.7</v>
      </c>
      <c r="S43" s="39"/>
      <c r="T43" s="41"/>
      <c r="U43" s="39"/>
      <c r="V43" s="41"/>
      <c r="W43" s="37" cm="1">
        <f t="array" ref="W43">CheckYellowFill(Table248[[#This Row],[MD
(m)]])</f>
        <v>0</v>
      </c>
      <c r="X43" s="39" cm="1">
        <f t="array" ref="X43">isfontcolorred(Table248[[#This Row],[MD
(m)]])</f>
        <v>0</v>
      </c>
      <c r="Y43" s="37">
        <f>IF(Table248[[#This Row],[Plug Depth
Plan
(m)]]&lt;&gt;0,1,0)</f>
        <v>0</v>
      </c>
      <c r="Z43" s="41"/>
      <c r="AA43" s="42" t="str">
        <f>IF(Table248[[#This Row],[Plug Depth
Plan
(m)]]=0,"",ABS(Table248[[#This Row],[Plug Depth
Plan
(m)]]-Table248[[#This Row],[MD
(m)]]))</f>
        <v/>
      </c>
    </row>
    <row r="44" spans="1:27" ht="16" thickBot="1" x14ac:dyDescent="0.25">
      <c r="A44" s="2">
        <v>1208.47</v>
      </c>
      <c r="B44" s="1">
        <v>1199.77</v>
      </c>
      <c r="C44" s="2">
        <v>17.36</v>
      </c>
      <c r="D44" s="2">
        <v>82.56</v>
      </c>
      <c r="E44" s="2">
        <v>0.11</v>
      </c>
      <c r="F44" s="1">
        <v>4.5999999999999996</v>
      </c>
      <c r="G44" s="1">
        <v>75.14</v>
      </c>
      <c r="H44" s="1">
        <v>0.08</v>
      </c>
      <c r="I44" s="1">
        <v>-0.23</v>
      </c>
      <c r="J44" s="7">
        <v>1208.47</v>
      </c>
      <c r="K44" s="3">
        <v>1199.76</v>
      </c>
      <c r="L44" s="3">
        <v>17.36</v>
      </c>
      <c r="M44" s="3">
        <v>82.56</v>
      </c>
      <c r="N44" s="8">
        <v>0.09</v>
      </c>
      <c r="O44" s="50">
        <v>4.66</v>
      </c>
      <c r="P44" s="50">
        <v>75.17</v>
      </c>
      <c r="Q44" s="50">
        <v>7.0000000000000007E-2</v>
      </c>
      <c r="R44" s="50">
        <v>-0.18</v>
      </c>
      <c r="S44" s="39"/>
      <c r="T44" s="41"/>
      <c r="U44" s="39"/>
      <c r="V44" s="41"/>
      <c r="W44" s="37" cm="1">
        <f t="array" ref="W44">CheckYellowFill(Table248[[#This Row],[MD
(m)]])</f>
        <v>0</v>
      </c>
      <c r="X44" s="39" cm="1">
        <f t="array" ref="X44">isfontcolorred(Table248[[#This Row],[MD
(m)]])</f>
        <v>0</v>
      </c>
      <c r="Y44" s="37">
        <f>IF(Table248[[#This Row],[Plug Depth
Plan
(m)]]&lt;&gt;0,1,0)</f>
        <v>0</v>
      </c>
      <c r="Z44" s="41"/>
      <c r="AA44" s="42" t="str">
        <f>IF(Table248[[#This Row],[Plug Depth
Plan
(m)]]=0,"",ABS(Table248[[#This Row],[Plug Depth
Plan
(m)]]-Table248[[#This Row],[MD
(m)]]))</f>
        <v/>
      </c>
    </row>
    <row r="45" spans="1:27" ht="16" thickBot="1" x14ac:dyDescent="0.25">
      <c r="A45" s="2">
        <v>1237.04</v>
      </c>
      <c r="B45" s="1">
        <v>1227.07</v>
      </c>
      <c r="C45" s="2">
        <v>16.95</v>
      </c>
      <c r="D45" s="2">
        <v>82.23</v>
      </c>
      <c r="E45" s="2">
        <v>0.44</v>
      </c>
      <c r="F45" s="1">
        <v>5.72</v>
      </c>
      <c r="G45" s="1">
        <v>83.49</v>
      </c>
      <c r="H45" s="1">
        <v>-0.43</v>
      </c>
      <c r="I45" s="1">
        <v>-0.35</v>
      </c>
      <c r="J45" s="7">
        <v>1237.04</v>
      </c>
      <c r="K45" s="3">
        <v>1227.06</v>
      </c>
      <c r="L45" s="3">
        <v>16.96</v>
      </c>
      <c r="M45" s="3">
        <v>82.23</v>
      </c>
      <c r="N45" s="8">
        <v>0.43</v>
      </c>
      <c r="O45" s="50">
        <v>5.78</v>
      </c>
      <c r="P45" s="50">
        <v>83.53</v>
      </c>
      <c r="Q45" s="50">
        <v>-0.42</v>
      </c>
      <c r="R45" s="50">
        <v>-0.35</v>
      </c>
      <c r="S45" s="39"/>
      <c r="T45" s="41"/>
      <c r="U45" s="39"/>
      <c r="V45" s="41"/>
      <c r="W45" s="37" cm="1">
        <f t="array" ref="W45">CheckYellowFill(Table248[[#This Row],[MD
(m)]])</f>
        <v>0</v>
      </c>
      <c r="X45" s="39" cm="1">
        <f t="array" ref="X45">isfontcolorred(Table248[[#This Row],[MD
(m)]])</f>
        <v>0</v>
      </c>
      <c r="Y45" s="37">
        <f>IF(Table248[[#This Row],[Plug Depth
Plan
(m)]]&lt;&gt;0,1,0)</f>
        <v>0</v>
      </c>
      <c r="Z45" s="41"/>
      <c r="AA45" s="42" t="str">
        <f>IF(Table248[[#This Row],[Plug Depth
Plan
(m)]]=0,"",ABS(Table248[[#This Row],[Plug Depth
Plan
(m)]]-Table248[[#This Row],[MD
(m)]]))</f>
        <v/>
      </c>
    </row>
    <row r="46" spans="1:27" ht="16" thickBot="1" x14ac:dyDescent="0.25">
      <c r="A46" s="2">
        <v>1265.5899999999999</v>
      </c>
      <c r="B46" s="1">
        <v>1254.47</v>
      </c>
      <c r="C46" s="2">
        <v>15.71</v>
      </c>
      <c r="D46" s="2">
        <v>81.42</v>
      </c>
      <c r="E46" s="2">
        <v>1.32</v>
      </c>
      <c r="F46" s="1">
        <v>6.86</v>
      </c>
      <c r="G46" s="1">
        <v>91.43</v>
      </c>
      <c r="H46" s="1">
        <v>-1.3</v>
      </c>
      <c r="I46" s="1">
        <v>-0.85</v>
      </c>
      <c r="J46" s="7">
        <v>1265.5899999999999</v>
      </c>
      <c r="K46" s="3">
        <v>1254.46</v>
      </c>
      <c r="L46" s="3">
        <v>15.71</v>
      </c>
      <c r="M46" s="3">
        <v>81.42</v>
      </c>
      <c r="N46" s="8">
        <v>1.34</v>
      </c>
      <c r="O46" s="50">
        <v>6.91</v>
      </c>
      <c r="P46" s="50">
        <v>91.48</v>
      </c>
      <c r="Q46" s="50">
        <v>-1.31</v>
      </c>
      <c r="R46" s="50">
        <v>-0.85</v>
      </c>
      <c r="S46" s="39"/>
      <c r="T46" s="41"/>
      <c r="U46" s="39"/>
      <c r="V46" s="41"/>
      <c r="W46" s="37" cm="1">
        <f t="array" ref="W46">CheckYellowFill(Table248[[#This Row],[MD
(m)]])</f>
        <v>0</v>
      </c>
      <c r="X46" s="41" cm="1">
        <f t="array" ref="X46">isfontcolorred(Table248[[#This Row],[MD
(m)]])</f>
        <v>0</v>
      </c>
      <c r="Y46" s="37">
        <f>IF(Table248[[#This Row],[Plug Depth
Plan
(m)]]&lt;&gt;0,1,0)</f>
        <v>0</v>
      </c>
      <c r="Z46" s="41"/>
      <c r="AA46" s="42" t="str">
        <f>IF(Table248[[#This Row],[Plug Depth
Plan
(m)]]=0,"",ABS(Table248[[#This Row],[Plug Depth
Plan
(m)]]-Table248[[#This Row],[MD
(m)]]))</f>
        <v/>
      </c>
    </row>
    <row r="47" spans="1:27" ht="16" thickBot="1" x14ac:dyDescent="0.25">
      <c r="A47" s="2">
        <v>1294.4100000000001</v>
      </c>
      <c r="B47" s="1">
        <v>1282.3800000000001</v>
      </c>
      <c r="C47" s="2">
        <v>13.1</v>
      </c>
      <c r="D47" s="2">
        <v>80.59</v>
      </c>
      <c r="E47" s="2">
        <v>2.73</v>
      </c>
      <c r="F47" s="1">
        <v>7.97</v>
      </c>
      <c r="G47" s="1">
        <v>98.52</v>
      </c>
      <c r="H47" s="1">
        <v>-2.72</v>
      </c>
      <c r="I47" s="1">
        <v>-0.86</v>
      </c>
      <c r="J47" s="7">
        <v>1294.4100000000001</v>
      </c>
      <c r="K47" s="3">
        <v>1282.3699999999999</v>
      </c>
      <c r="L47" s="3">
        <v>13.1</v>
      </c>
      <c r="M47" s="3">
        <v>80.59</v>
      </c>
      <c r="N47" s="8">
        <v>2.73</v>
      </c>
      <c r="O47" s="50">
        <v>8.0299999999999994</v>
      </c>
      <c r="P47" s="50">
        <v>98.56</v>
      </c>
      <c r="Q47" s="50">
        <v>-2.72</v>
      </c>
      <c r="R47" s="50">
        <v>-0.86</v>
      </c>
      <c r="S47" s="39"/>
      <c r="T47" s="41"/>
      <c r="U47" s="39"/>
      <c r="V47" s="41"/>
      <c r="W47" s="37" cm="1">
        <f t="array" ref="W47">CheckYellowFill(Table248[[#This Row],[MD
(m)]])</f>
        <v>0</v>
      </c>
      <c r="X47" s="41" cm="1">
        <f t="array" ref="X47">isfontcolorred(Table248[[#This Row],[MD
(m)]])</f>
        <v>0</v>
      </c>
      <c r="Y47" s="37">
        <f>IF(Table248[[#This Row],[Plug Depth
Plan
(m)]]&lt;&gt;0,1,0)</f>
        <v>0</v>
      </c>
      <c r="Z47" s="41"/>
      <c r="AA47" s="42" t="str">
        <f>IF(Table248[[#This Row],[Plug Depth
Plan
(m)]]=0,"",ABS(Table248[[#This Row],[Plug Depth
Plan
(m)]]-Table248[[#This Row],[MD
(m)]]))</f>
        <v/>
      </c>
    </row>
    <row r="48" spans="1:27" ht="16" thickBot="1" x14ac:dyDescent="0.25">
      <c r="A48" s="2">
        <v>1323.3</v>
      </c>
      <c r="B48" s="1">
        <v>1310.52</v>
      </c>
      <c r="C48" s="2">
        <v>13.02</v>
      </c>
      <c r="D48" s="2">
        <v>80.42</v>
      </c>
      <c r="E48" s="2">
        <v>0.09</v>
      </c>
      <c r="F48" s="1">
        <v>9.0500000000000007</v>
      </c>
      <c r="G48" s="1">
        <v>104.95</v>
      </c>
      <c r="H48" s="1">
        <v>-0.08</v>
      </c>
      <c r="I48" s="1">
        <v>-0.18</v>
      </c>
      <c r="J48" s="7">
        <v>1323.3</v>
      </c>
      <c r="K48" s="3">
        <v>1310.51</v>
      </c>
      <c r="L48" s="3">
        <v>13.02</v>
      </c>
      <c r="M48" s="3">
        <v>80.42</v>
      </c>
      <c r="N48" s="8">
        <v>0.09</v>
      </c>
      <c r="O48" s="50">
        <v>9.11</v>
      </c>
      <c r="P48" s="50">
        <v>105</v>
      </c>
      <c r="Q48" s="50">
        <v>-0.08</v>
      </c>
      <c r="R48" s="50">
        <v>-0.18</v>
      </c>
      <c r="S48" s="39"/>
      <c r="T48" s="41"/>
      <c r="U48" s="39"/>
      <c r="V48" s="41"/>
      <c r="W48" s="37" cm="1">
        <f t="array" ref="W48">CheckYellowFill(Table248[[#This Row],[MD
(m)]])</f>
        <v>0</v>
      </c>
      <c r="X48" s="41" cm="1">
        <f t="array" ref="X48">isfontcolorred(Table248[[#This Row],[MD
(m)]])</f>
        <v>0</v>
      </c>
      <c r="Y48" s="37">
        <f>IF(Table248[[#This Row],[Plug Depth
Plan
(m)]]&lt;&gt;0,1,0)</f>
        <v>0</v>
      </c>
      <c r="Z48" s="41"/>
      <c r="AA48" s="42" t="str">
        <f>IF(Table248[[#This Row],[Plug Depth
Plan
(m)]]=0,"",ABS(Table248[[#This Row],[Plug Depth
Plan
(m)]]-Table248[[#This Row],[MD
(m)]]))</f>
        <v/>
      </c>
    </row>
    <row r="49" spans="1:27" ht="16" thickBot="1" x14ac:dyDescent="0.25">
      <c r="A49" s="2">
        <v>1352.3</v>
      </c>
      <c r="B49" s="1">
        <v>1338.82</v>
      </c>
      <c r="C49" s="2">
        <v>12.29</v>
      </c>
      <c r="D49" s="2">
        <v>80.61</v>
      </c>
      <c r="E49" s="2">
        <v>0.76</v>
      </c>
      <c r="F49" s="1">
        <v>10.1</v>
      </c>
      <c r="G49" s="1">
        <v>111.22</v>
      </c>
      <c r="H49" s="1">
        <v>-0.76</v>
      </c>
      <c r="I49" s="1">
        <v>0.2</v>
      </c>
      <c r="J49" s="7">
        <v>1352.3</v>
      </c>
      <c r="K49" s="3">
        <v>1338.8</v>
      </c>
      <c r="L49" s="3">
        <v>12.29</v>
      </c>
      <c r="M49" s="3">
        <v>80.61</v>
      </c>
      <c r="N49" s="8">
        <v>0.76</v>
      </c>
      <c r="O49" s="50">
        <v>10.16</v>
      </c>
      <c r="P49" s="50">
        <v>111.26</v>
      </c>
      <c r="Q49" s="50">
        <v>-0.76</v>
      </c>
      <c r="R49" s="50">
        <v>0.2</v>
      </c>
      <c r="S49" s="39"/>
      <c r="T49" s="41"/>
      <c r="U49" s="39"/>
      <c r="V49" s="41"/>
      <c r="W49" s="37" cm="1">
        <f t="array" ref="W49">CheckYellowFill(Table248[[#This Row],[MD
(m)]])</f>
        <v>0</v>
      </c>
      <c r="X49" s="41" cm="1">
        <f t="array" ref="X49">isfontcolorred(Table248[[#This Row],[MD
(m)]])</f>
        <v>0</v>
      </c>
      <c r="Y49" s="37">
        <f>IF(Table248[[#This Row],[Plug Depth
Plan
(m)]]&lt;&gt;0,1,0)</f>
        <v>0</v>
      </c>
      <c r="Z49" s="41"/>
      <c r="AA49" s="42" t="str">
        <f>IF(Table248[[#This Row],[Plug Depth
Plan
(m)]]=0,"",ABS(Table248[[#This Row],[Plug Depth
Plan
(m)]]-Table248[[#This Row],[MD
(m)]]))</f>
        <v/>
      </c>
    </row>
    <row r="50" spans="1:27" ht="16" thickBot="1" x14ac:dyDescent="0.25">
      <c r="A50" s="2">
        <v>1383.17</v>
      </c>
      <c r="B50" s="1">
        <v>1369</v>
      </c>
      <c r="C50" s="2">
        <v>12.07</v>
      </c>
      <c r="D50" s="2">
        <v>80.48</v>
      </c>
      <c r="E50" s="2">
        <v>0.22</v>
      </c>
      <c r="F50" s="1">
        <v>11.17</v>
      </c>
      <c r="G50" s="1">
        <v>117.65</v>
      </c>
      <c r="H50" s="1">
        <v>-0.21</v>
      </c>
      <c r="I50" s="1">
        <v>-0.13</v>
      </c>
      <c r="J50" s="7">
        <v>1383.17</v>
      </c>
      <c r="K50" s="3">
        <v>1368.98</v>
      </c>
      <c r="L50" s="3">
        <v>12.07</v>
      </c>
      <c r="M50" s="3">
        <v>80.48</v>
      </c>
      <c r="N50" s="8">
        <v>0.22</v>
      </c>
      <c r="O50" s="50">
        <v>11.23</v>
      </c>
      <c r="P50" s="50">
        <v>117.69</v>
      </c>
      <c r="Q50" s="50">
        <v>-0.21</v>
      </c>
      <c r="R50" s="50">
        <v>-0.13</v>
      </c>
      <c r="S50" s="39"/>
      <c r="T50" s="41"/>
      <c r="U50" s="39"/>
      <c r="V50" s="41"/>
      <c r="W50" s="37" cm="1">
        <f t="array" ref="W50">CheckYellowFill(Table248[[#This Row],[MD
(m)]])</f>
        <v>0</v>
      </c>
      <c r="X50" s="41" cm="1">
        <f t="array" ref="X50">isfontcolorred(Table248[[#This Row],[MD
(m)]])</f>
        <v>0</v>
      </c>
      <c r="Y50" s="37">
        <f>IF(Table248[[#This Row],[Plug Depth
Plan
(m)]]&lt;&gt;0,1,0)</f>
        <v>0</v>
      </c>
      <c r="Z50" s="41"/>
      <c r="AA50" s="42" t="str">
        <f>IF(Table248[[#This Row],[Plug Depth
Plan
(m)]]=0,"",ABS(Table248[[#This Row],[Plug Depth
Plan
(m)]]-Table248[[#This Row],[MD
(m)]]))</f>
        <v/>
      </c>
    </row>
    <row r="51" spans="1:27" ht="16" thickBot="1" x14ac:dyDescent="0.25">
      <c r="A51" s="2">
        <v>1411.42</v>
      </c>
      <c r="B51" s="1">
        <v>1396.65</v>
      </c>
      <c r="C51" s="2">
        <v>11.59</v>
      </c>
      <c r="D51" s="2">
        <v>80.150000000000006</v>
      </c>
      <c r="E51" s="2">
        <v>0.51</v>
      </c>
      <c r="F51" s="1">
        <v>12.14</v>
      </c>
      <c r="G51" s="1">
        <v>123.35</v>
      </c>
      <c r="H51" s="1">
        <v>-0.51</v>
      </c>
      <c r="I51" s="1">
        <v>-0.35</v>
      </c>
      <c r="J51" s="7">
        <v>1411.42</v>
      </c>
      <c r="K51" s="3">
        <v>1396.63</v>
      </c>
      <c r="L51" s="3">
        <v>11.59</v>
      </c>
      <c r="M51" s="3">
        <v>80.150000000000006</v>
      </c>
      <c r="N51" s="8">
        <v>0.51</v>
      </c>
      <c r="O51" s="50">
        <v>12.2</v>
      </c>
      <c r="P51" s="50">
        <v>123.4</v>
      </c>
      <c r="Q51" s="50">
        <v>-0.51</v>
      </c>
      <c r="R51" s="50">
        <v>-0.35</v>
      </c>
      <c r="S51" s="39"/>
      <c r="T51" s="41"/>
      <c r="U51" s="39"/>
      <c r="V51" s="41"/>
      <c r="W51" s="37" cm="1">
        <f t="array" ref="W51">CheckYellowFill(Table248[[#This Row],[MD
(m)]])</f>
        <v>0</v>
      </c>
      <c r="X51" s="41" cm="1">
        <f t="array" ref="X51">isfontcolorred(Table248[[#This Row],[MD
(m)]])</f>
        <v>0</v>
      </c>
      <c r="Y51" s="37">
        <f>IF(Table248[[#This Row],[Plug Depth
Plan
(m)]]&lt;&gt;0,1,0)</f>
        <v>0</v>
      </c>
      <c r="Z51" s="41"/>
      <c r="AA51" s="42" t="str">
        <f>IF(Table248[[#This Row],[Plug Depth
Plan
(m)]]=0,"",ABS(Table248[[#This Row],[Plug Depth
Plan
(m)]]-Table248[[#This Row],[MD
(m)]]))</f>
        <v/>
      </c>
    </row>
    <row r="52" spans="1:27" ht="16" thickBot="1" x14ac:dyDescent="0.25">
      <c r="A52" s="2">
        <v>1440.24</v>
      </c>
      <c r="B52" s="1">
        <v>1424.86</v>
      </c>
      <c r="C52" s="2">
        <v>11.9</v>
      </c>
      <c r="D52" s="2">
        <v>84.33</v>
      </c>
      <c r="E52" s="2">
        <v>0.94</v>
      </c>
      <c r="F52" s="1">
        <v>12.93</v>
      </c>
      <c r="G52" s="1">
        <v>129.16</v>
      </c>
      <c r="H52" s="1">
        <v>0.32</v>
      </c>
      <c r="I52" s="1">
        <v>4.3499999999999996</v>
      </c>
      <c r="J52" s="7">
        <v>1440.24</v>
      </c>
      <c r="K52" s="3">
        <v>1424.85</v>
      </c>
      <c r="L52" s="3">
        <v>11.9</v>
      </c>
      <c r="M52" s="3">
        <v>84.33</v>
      </c>
      <c r="N52" s="8">
        <v>0.94</v>
      </c>
      <c r="O52" s="50">
        <v>12.99</v>
      </c>
      <c r="P52" s="50">
        <v>129.21</v>
      </c>
      <c r="Q52" s="50">
        <v>0.32</v>
      </c>
      <c r="R52" s="50">
        <v>4.3499999999999996</v>
      </c>
      <c r="S52" s="39"/>
      <c r="T52" s="41"/>
      <c r="U52" s="39"/>
      <c r="V52" s="41"/>
      <c r="W52" s="37" cm="1">
        <f t="array" ref="W52">CheckYellowFill(Table248[[#This Row],[MD
(m)]])</f>
        <v>0</v>
      </c>
      <c r="X52" s="41" cm="1">
        <f t="array" ref="X52">isfontcolorred(Table248[[#This Row],[MD
(m)]])</f>
        <v>0</v>
      </c>
      <c r="Y52" s="37">
        <f>IF(Table248[[#This Row],[Plug Depth
Plan
(m)]]&lt;&gt;0,1,0)</f>
        <v>0</v>
      </c>
      <c r="Z52" s="41"/>
      <c r="AA52" s="42" t="str">
        <f>IF(Table248[[#This Row],[Plug Depth
Plan
(m)]]=0,"",ABS(Table248[[#This Row],[Plug Depth
Plan
(m)]]-Table248[[#This Row],[MD
(m)]]))</f>
        <v/>
      </c>
    </row>
    <row r="53" spans="1:27" ht="16" thickBot="1" x14ac:dyDescent="0.25">
      <c r="A53" s="2">
        <v>1469.04</v>
      </c>
      <c r="B53" s="1">
        <v>1453.07</v>
      </c>
      <c r="C53" s="2">
        <v>11.4</v>
      </c>
      <c r="D53" s="2">
        <v>85.38</v>
      </c>
      <c r="E53" s="2">
        <v>0.56999999999999995</v>
      </c>
      <c r="F53" s="1">
        <v>13.45</v>
      </c>
      <c r="G53" s="1">
        <v>134.96</v>
      </c>
      <c r="H53" s="1">
        <v>-0.52</v>
      </c>
      <c r="I53" s="1">
        <v>1.0900000000000001</v>
      </c>
      <c r="J53" s="7">
        <v>1469.04</v>
      </c>
      <c r="K53" s="3">
        <v>1453.05</v>
      </c>
      <c r="L53" s="3">
        <v>11.4</v>
      </c>
      <c r="M53" s="3">
        <v>85.38</v>
      </c>
      <c r="N53" s="8">
        <v>0.56999999999999995</v>
      </c>
      <c r="O53" s="50">
        <v>13.51</v>
      </c>
      <c r="P53" s="50">
        <v>135</v>
      </c>
      <c r="Q53" s="50">
        <v>-0.52</v>
      </c>
      <c r="R53" s="50">
        <v>1.0900000000000001</v>
      </c>
      <c r="S53" s="39"/>
      <c r="T53" s="41"/>
      <c r="U53" s="39"/>
      <c r="V53" s="41"/>
      <c r="W53" s="37" cm="1">
        <f t="array" ref="W53">CheckYellowFill(Table248[[#This Row],[MD
(m)]])</f>
        <v>0</v>
      </c>
      <c r="X53" s="41" cm="1">
        <f t="array" ref="X53">isfontcolorred(Table248[[#This Row],[MD
(m)]])</f>
        <v>0</v>
      </c>
      <c r="Y53" s="37">
        <f>IF(Table248[[#This Row],[Plug Depth
Plan
(m)]]&lt;&gt;0,1,0)</f>
        <v>0</v>
      </c>
      <c r="Z53" s="41"/>
      <c r="AA53" s="42" t="str">
        <f>IF(Table248[[#This Row],[Plug Depth
Plan
(m)]]=0,"",ABS(Table248[[#This Row],[Plug Depth
Plan
(m)]]-Table248[[#This Row],[MD
(m)]]))</f>
        <v/>
      </c>
    </row>
    <row r="54" spans="1:27" ht="16" thickBot="1" x14ac:dyDescent="0.25">
      <c r="A54" s="2">
        <v>1498.03</v>
      </c>
      <c r="B54" s="1">
        <v>1481.52</v>
      </c>
      <c r="C54" s="2">
        <v>10.76</v>
      </c>
      <c r="D54" s="2">
        <v>84.52</v>
      </c>
      <c r="E54" s="2">
        <v>0.68</v>
      </c>
      <c r="F54" s="1">
        <v>13.94</v>
      </c>
      <c r="G54" s="1">
        <v>140.51</v>
      </c>
      <c r="H54" s="1">
        <v>-0.66</v>
      </c>
      <c r="I54" s="1">
        <v>-0.89</v>
      </c>
      <c r="J54" s="7">
        <v>1498.03</v>
      </c>
      <c r="K54" s="3">
        <v>1481.5</v>
      </c>
      <c r="L54" s="3">
        <v>10.76</v>
      </c>
      <c r="M54" s="3">
        <v>84.52</v>
      </c>
      <c r="N54" s="8">
        <v>0.68</v>
      </c>
      <c r="O54" s="50">
        <v>14</v>
      </c>
      <c r="P54" s="50">
        <v>140.55000000000001</v>
      </c>
      <c r="Q54" s="50">
        <v>-0.66</v>
      </c>
      <c r="R54" s="50">
        <v>-0.89</v>
      </c>
      <c r="S54" s="39"/>
      <c r="T54" s="41"/>
      <c r="U54" s="39"/>
      <c r="V54" s="41"/>
      <c r="W54" s="37" cm="1">
        <f t="array" ref="W54">CheckYellowFill(Table248[[#This Row],[MD
(m)]])</f>
        <v>0</v>
      </c>
      <c r="X54" s="41" cm="1">
        <f t="array" ref="X54">isfontcolorred(Table248[[#This Row],[MD
(m)]])</f>
        <v>0</v>
      </c>
      <c r="Y54" s="37">
        <f>IF(Table248[[#This Row],[Plug Depth
Plan
(m)]]&lt;&gt;0,1,0)</f>
        <v>0</v>
      </c>
      <c r="Z54" s="41"/>
      <c r="AA54" s="42" t="str">
        <f>IF(Table248[[#This Row],[Plug Depth
Plan
(m)]]=0,"",ABS(Table248[[#This Row],[Plug Depth
Plan
(m)]]-Table248[[#This Row],[MD
(m)]]))</f>
        <v/>
      </c>
    </row>
    <row r="55" spans="1:27" ht="16" thickBot="1" x14ac:dyDescent="0.25">
      <c r="A55" s="2">
        <v>1526.89</v>
      </c>
      <c r="B55" s="1">
        <v>1509.89</v>
      </c>
      <c r="C55" s="2">
        <v>10.29</v>
      </c>
      <c r="D55" s="2">
        <v>84.56</v>
      </c>
      <c r="E55" s="2">
        <v>0.49</v>
      </c>
      <c r="F55" s="1">
        <v>14.44</v>
      </c>
      <c r="G55" s="1">
        <v>145.75</v>
      </c>
      <c r="H55" s="1">
        <v>-0.49</v>
      </c>
      <c r="I55" s="1">
        <v>0.04</v>
      </c>
      <c r="J55" s="7">
        <v>1526.89</v>
      </c>
      <c r="K55" s="3">
        <v>1509.88</v>
      </c>
      <c r="L55" s="3">
        <v>10.29</v>
      </c>
      <c r="M55" s="3">
        <v>84.56</v>
      </c>
      <c r="N55" s="8">
        <v>0.49</v>
      </c>
      <c r="O55" s="50">
        <v>14.5</v>
      </c>
      <c r="P55" s="50">
        <v>145.80000000000001</v>
      </c>
      <c r="Q55" s="50">
        <v>-0.49</v>
      </c>
      <c r="R55" s="50">
        <v>0.04</v>
      </c>
      <c r="S55" s="39"/>
      <c r="T55" s="41"/>
      <c r="U55" s="39"/>
      <c r="V55" s="41"/>
      <c r="W55" s="37" cm="1">
        <f t="array" ref="W55">CheckYellowFill(Table248[[#This Row],[MD
(m)]])</f>
        <v>0</v>
      </c>
      <c r="X55" s="41" cm="1">
        <f t="array" ref="X55">isfontcolorred(Table248[[#This Row],[MD
(m)]])</f>
        <v>0</v>
      </c>
      <c r="Y55" s="37">
        <f>IF(Table248[[#This Row],[Plug Depth
Plan
(m)]]&lt;&gt;0,1,0)</f>
        <v>0</v>
      </c>
      <c r="Z55" s="41"/>
      <c r="AA55" s="42" t="str">
        <f>IF(Table248[[#This Row],[Plug Depth
Plan
(m)]]=0,"",ABS(Table248[[#This Row],[Plug Depth
Plan
(m)]]-Table248[[#This Row],[MD
(m)]]))</f>
        <v/>
      </c>
    </row>
    <row r="56" spans="1:27" ht="16" thickBot="1" x14ac:dyDescent="0.25">
      <c r="A56" s="2">
        <v>1555.84</v>
      </c>
      <c r="B56" s="1">
        <v>1538.41</v>
      </c>
      <c r="C56" s="2">
        <v>9.61</v>
      </c>
      <c r="D56" s="2">
        <v>84.35</v>
      </c>
      <c r="E56" s="2">
        <v>0.71</v>
      </c>
      <c r="F56" s="1">
        <v>14.93</v>
      </c>
      <c r="G56" s="1">
        <v>150.72999999999999</v>
      </c>
      <c r="H56" s="1">
        <v>-0.7</v>
      </c>
      <c r="I56" s="1">
        <v>-0.22</v>
      </c>
      <c r="J56" s="7">
        <v>1555.84</v>
      </c>
      <c r="K56" s="3">
        <v>1538.39</v>
      </c>
      <c r="L56" s="3">
        <v>9.61</v>
      </c>
      <c r="M56" s="3">
        <v>84.35</v>
      </c>
      <c r="N56" s="8">
        <v>0.71</v>
      </c>
      <c r="O56" s="50">
        <v>14.98</v>
      </c>
      <c r="P56" s="50">
        <v>150.77000000000001</v>
      </c>
      <c r="Q56" s="50">
        <v>-0.7</v>
      </c>
      <c r="R56" s="50">
        <v>-0.22</v>
      </c>
      <c r="S56" s="39"/>
      <c r="T56" s="41"/>
      <c r="U56" s="39"/>
      <c r="V56" s="41"/>
      <c r="W56" s="37" cm="1">
        <f t="array" ref="W56">CheckYellowFill(Table248[[#This Row],[MD
(m)]])</f>
        <v>0</v>
      </c>
      <c r="X56" s="41" cm="1">
        <f t="array" ref="X56">isfontcolorred(Table248[[#This Row],[MD
(m)]])</f>
        <v>0</v>
      </c>
      <c r="Y56" s="37">
        <f>IF(Table248[[#This Row],[Plug Depth
Plan
(m)]]&lt;&gt;0,1,0)</f>
        <v>0</v>
      </c>
      <c r="Z56" s="41"/>
      <c r="AA56" s="42" t="str">
        <f>IF(Table248[[#This Row],[Plug Depth
Plan
(m)]]=0,"",ABS(Table248[[#This Row],[Plug Depth
Plan
(m)]]-Table248[[#This Row],[MD
(m)]]))</f>
        <v/>
      </c>
    </row>
    <row r="57" spans="1:27" ht="16" thickBot="1" x14ac:dyDescent="0.25">
      <c r="A57" s="2">
        <v>1584.66</v>
      </c>
      <c r="B57" s="1">
        <v>1566.83</v>
      </c>
      <c r="C57" s="2">
        <v>9.43</v>
      </c>
      <c r="D57" s="2">
        <v>83.73</v>
      </c>
      <c r="E57" s="2">
        <v>0.22</v>
      </c>
      <c r="F57" s="1">
        <v>15.42</v>
      </c>
      <c r="G57" s="1">
        <v>155.47</v>
      </c>
      <c r="H57" s="1">
        <v>-0.19</v>
      </c>
      <c r="I57" s="1">
        <v>-0.65</v>
      </c>
      <c r="J57" s="7">
        <v>1584.66</v>
      </c>
      <c r="K57" s="3">
        <v>1566.82</v>
      </c>
      <c r="L57" s="3">
        <v>9.43</v>
      </c>
      <c r="M57" s="3">
        <v>83.73</v>
      </c>
      <c r="N57" s="8">
        <v>0.22</v>
      </c>
      <c r="O57" s="50">
        <v>15.48</v>
      </c>
      <c r="P57" s="50">
        <v>155.52000000000001</v>
      </c>
      <c r="Q57" s="50">
        <v>-0.19</v>
      </c>
      <c r="R57" s="50">
        <v>-0.65</v>
      </c>
      <c r="S57" s="39"/>
      <c r="T57" s="41"/>
      <c r="U57" s="39"/>
      <c r="V57" s="41"/>
      <c r="W57" s="37" cm="1">
        <f t="array" ref="W57">CheckYellowFill(Table248[[#This Row],[MD
(m)]])</f>
        <v>0</v>
      </c>
      <c r="X57" s="41" cm="1">
        <f t="array" ref="X57">isfontcolorred(Table248[[#This Row],[MD
(m)]])</f>
        <v>0</v>
      </c>
      <c r="Y57" s="37">
        <f>IF(Table248[[#This Row],[Plug Depth
Plan
(m)]]&lt;&gt;0,1,0)</f>
        <v>0</v>
      </c>
      <c r="Z57" s="41"/>
      <c r="AA57" s="42" t="str">
        <f>IF(Table248[[#This Row],[Plug Depth
Plan
(m)]]=0,"",ABS(Table248[[#This Row],[Plug Depth
Plan
(m)]]-Table248[[#This Row],[MD
(m)]]))</f>
        <v/>
      </c>
    </row>
    <row r="58" spans="1:27" ht="16" thickBot="1" x14ac:dyDescent="0.25">
      <c r="A58" s="2">
        <v>1613.51</v>
      </c>
      <c r="B58" s="1">
        <v>1595.3</v>
      </c>
      <c r="C58" s="2">
        <v>9.27</v>
      </c>
      <c r="D58" s="2">
        <v>83.18</v>
      </c>
      <c r="E58" s="2">
        <v>0.19</v>
      </c>
      <c r="F58" s="1">
        <v>15.95</v>
      </c>
      <c r="G58" s="1">
        <v>160.13</v>
      </c>
      <c r="H58" s="1">
        <v>-0.17</v>
      </c>
      <c r="I58" s="1">
        <v>-0.56999999999999995</v>
      </c>
      <c r="J58" s="7">
        <v>1613.51</v>
      </c>
      <c r="K58" s="3">
        <v>1595.28</v>
      </c>
      <c r="L58" s="3">
        <v>9.27</v>
      </c>
      <c r="M58" s="3">
        <v>83.18</v>
      </c>
      <c r="N58" s="8">
        <v>0.19</v>
      </c>
      <c r="O58" s="50">
        <v>16.010000000000002</v>
      </c>
      <c r="P58" s="50">
        <v>160.16999999999999</v>
      </c>
      <c r="Q58" s="50">
        <v>-0.17</v>
      </c>
      <c r="R58" s="50">
        <v>-0.56999999999999995</v>
      </c>
      <c r="S58" s="39"/>
      <c r="T58" s="41"/>
      <c r="U58" s="39"/>
      <c r="V58" s="41"/>
      <c r="W58" s="37" cm="1">
        <f t="array" ref="W58">CheckYellowFill(Table248[[#This Row],[MD
(m)]])</f>
        <v>0</v>
      </c>
      <c r="X58" s="41" cm="1">
        <f t="array" ref="X58">isfontcolorred(Table248[[#This Row],[MD
(m)]])</f>
        <v>0</v>
      </c>
      <c r="Y58" s="37">
        <f>IF(Table248[[#This Row],[Plug Depth
Plan
(m)]]&lt;&gt;0,1,0)</f>
        <v>0</v>
      </c>
      <c r="Z58" s="41"/>
      <c r="AA58" s="42" t="str">
        <f>IF(Table248[[#This Row],[Plug Depth
Plan
(m)]]=0,"",ABS(Table248[[#This Row],[Plug Depth
Plan
(m)]]-Table248[[#This Row],[MD
(m)]]))</f>
        <v/>
      </c>
    </row>
    <row r="59" spans="1:27" ht="16" thickBot="1" x14ac:dyDescent="0.25">
      <c r="A59" s="2">
        <v>1642.6</v>
      </c>
      <c r="B59" s="1">
        <v>1624.02</v>
      </c>
      <c r="C59" s="2">
        <v>9.01</v>
      </c>
      <c r="D59" s="2">
        <v>82.65</v>
      </c>
      <c r="E59" s="2">
        <v>0.28000000000000003</v>
      </c>
      <c r="F59" s="1">
        <v>16.52</v>
      </c>
      <c r="G59" s="1">
        <v>164.72</v>
      </c>
      <c r="H59" s="1">
        <v>-0.27</v>
      </c>
      <c r="I59" s="1">
        <v>-0.55000000000000004</v>
      </c>
      <c r="J59" s="7">
        <v>1642.6</v>
      </c>
      <c r="K59" s="3">
        <v>1624</v>
      </c>
      <c r="L59" s="3">
        <v>9.01</v>
      </c>
      <c r="M59" s="3">
        <v>82.65</v>
      </c>
      <c r="N59" s="8">
        <v>0.28000000000000003</v>
      </c>
      <c r="O59" s="50">
        <v>16.579999999999998</v>
      </c>
      <c r="P59" s="50">
        <v>164.76</v>
      </c>
      <c r="Q59" s="50">
        <v>-0.27</v>
      </c>
      <c r="R59" s="50">
        <v>-0.55000000000000004</v>
      </c>
      <c r="S59" s="39"/>
      <c r="T59" s="41"/>
      <c r="U59" s="39"/>
      <c r="V59" s="41"/>
      <c r="W59" s="37" cm="1">
        <f t="array" ref="W59">CheckYellowFill(Table248[[#This Row],[MD
(m)]])</f>
        <v>0</v>
      </c>
      <c r="X59" s="41" cm="1">
        <f t="array" ref="X59">isfontcolorred(Table248[[#This Row],[MD
(m)]])</f>
        <v>0</v>
      </c>
      <c r="Y59" s="37">
        <f>IF(Table248[[#This Row],[Plug Depth
Plan
(m)]]&lt;&gt;0,1,0)</f>
        <v>0</v>
      </c>
      <c r="Z59" s="41"/>
      <c r="AA59" s="42" t="str">
        <f>IF(Table248[[#This Row],[Plug Depth
Plan
(m)]]=0,"",ABS(Table248[[#This Row],[Plug Depth
Plan
(m)]]-Table248[[#This Row],[MD
(m)]]))</f>
        <v/>
      </c>
    </row>
    <row r="60" spans="1:27" ht="16" thickBot="1" x14ac:dyDescent="0.25">
      <c r="A60" s="2">
        <v>1671.77</v>
      </c>
      <c r="B60" s="1">
        <v>1652.84</v>
      </c>
      <c r="C60" s="2">
        <v>8.6300000000000008</v>
      </c>
      <c r="D60" s="2">
        <v>82.77</v>
      </c>
      <c r="E60" s="2">
        <v>0.39</v>
      </c>
      <c r="F60" s="1">
        <v>17.09</v>
      </c>
      <c r="G60" s="1">
        <v>169.15</v>
      </c>
      <c r="H60" s="1">
        <v>-0.39</v>
      </c>
      <c r="I60" s="1">
        <v>0.12</v>
      </c>
      <c r="J60" s="7">
        <v>1671.77</v>
      </c>
      <c r="K60" s="3">
        <v>1652.83</v>
      </c>
      <c r="L60" s="3">
        <v>8.6300000000000008</v>
      </c>
      <c r="M60" s="3">
        <v>82.77</v>
      </c>
      <c r="N60" s="8">
        <v>0.39</v>
      </c>
      <c r="O60" s="50">
        <v>17.149999999999999</v>
      </c>
      <c r="P60" s="50">
        <v>169.19</v>
      </c>
      <c r="Q60" s="50">
        <v>-0.39</v>
      </c>
      <c r="R60" s="50">
        <v>0.12</v>
      </c>
      <c r="S60" s="39"/>
      <c r="T60" s="41"/>
      <c r="U60" s="39"/>
      <c r="V60" s="41"/>
      <c r="W60" s="37" cm="1">
        <f t="array" ref="W60">CheckYellowFill(Table248[[#This Row],[MD
(m)]])</f>
        <v>0</v>
      </c>
      <c r="X60" s="41" cm="1">
        <f t="array" ref="X60">isfontcolorred(Table248[[#This Row],[MD
(m)]])</f>
        <v>0</v>
      </c>
      <c r="Y60" s="37">
        <f>IF(Table248[[#This Row],[Plug Depth
Plan
(m)]]&lt;&gt;0,1,0)</f>
        <v>0</v>
      </c>
      <c r="Z60" s="41"/>
      <c r="AA60" s="42" t="str">
        <f>IF(Table248[[#This Row],[Plug Depth
Plan
(m)]]=0,"",ABS(Table248[[#This Row],[Plug Depth
Plan
(m)]]-Table248[[#This Row],[MD
(m)]]))</f>
        <v/>
      </c>
    </row>
    <row r="61" spans="1:27" ht="16" thickBot="1" x14ac:dyDescent="0.25">
      <c r="A61" s="2">
        <v>1701.09</v>
      </c>
      <c r="B61" s="1">
        <v>1681.88</v>
      </c>
      <c r="C61" s="2">
        <v>7.16</v>
      </c>
      <c r="D61" s="2">
        <v>83.74</v>
      </c>
      <c r="E61" s="2">
        <v>1.51</v>
      </c>
      <c r="F61" s="1">
        <v>17.57</v>
      </c>
      <c r="G61" s="1">
        <v>173.15</v>
      </c>
      <c r="H61" s="1">
        <v>-1.5</v>
      </c>
      <c r="I61" s="1">
        <v>0.99</v>
      </c>
      <c r="J61" s="7">
        <v>1701.09</v>
      </c>
      <c r="K61" s="3">
        <v>1681.87</v>
      </c>
      <c r="L61" s="3">
        <v>7.16</v>
      </c>
      <c r="M61" s="3">
        <v>83.74</v>
      </c>
      <c r="N61" s="8">
        <v>1.51</v>
      </c>
      <c r="O61" s="50">
        <v>17.63</v>
      </c>
      <c r="P61" s="50">
        <v>173.19</v>
      </c>
      <c r="Q61" s="50">
        <v>-1.5</v>
      </c>
      <c r="R61" s="50">
        <v>0.99</v>
      </c>
      <c r="S61" s="39"/>
      <c r="T61" s="39"/>
      <c r="U61" s="39"/>
      <c r="V61" s="39"/>
      <c r="W61" s="37" cm="1">
        <f t="array" ref="W61">CheckYellowFill(Table248[[#This Row],[MD
(m)]])</f>
        <v>0</v>
      </c>
      <c r="X61" s="39" cm="1">
        <f t="array" ref="X61">isfontcolorred(Table248[[#This Row],[MD
(m)]])</f>
        <v>0</v>
      </c>
      <c r="Y61" s="37">
        <f>IF(Table248[[#This Row],[Plug Depth
Plan
(m)]]&lt;&gt;0,1,0)</f>
        <v>0</v>
      </c>
      <c r="Z61" s="39"/>
      <c r="AA61" s="40" t="str">
        <f>IF(Table248[[#This Row],[Plug Depth
Plan
(m)]]=0,"",ABS(Table248[[#This Row],[Plug Depth
Plan
(m)]]-Table248[[#This Row],[MD
(m)]]))</f>
        <v/>
      </c>
    </row>
    <row r="62" spans="1:27" ht="16" thickBot="1" x14ac:dyDescent="0.25">
      <c r="A62" s="2">
        <v>1729.79</v>
      </c>
      <c r="B62" s="1">
        <v>1710.37</v>
      </c>
      <c r="C62" s="2">
        <v>6.9</v>
      </c>
      <c r="D62" s="2">
        <v>83.73</v>
      </c>
      <c r="E62" s="2">
        <v>0.27</v>
      </c>
      <c r="F62" s="1">
        <v>17.95</v>
      </c>
      <c r="G62" s="1">
        <v>176.64</v>
      </c>
      <c r="H62" s="1">
        <v>-0.27</v>
      </c>
      <c r="I62" s="1">
        <v>-0.01</v>
      </c>
      <c r="J62" s="7">
        <v>1729.79</v>
      </c>
      <c r="K62" s="3">
        <v>1710.35</v>
      </c>
      <c r="L62" s="3">
        <v>6.9</v>
      </c>
      <c r="M62" s="3">
        <v>83.73</v>
      </c>
      <c r="N62" s="8">
        <v>0.27</v>
      </c>
      <c r="O62" s="50">
        <v>18.010000000000002</v>
      </c>
      <c r="P62" s="50">
        <v>176.68</v>
      </c>
      <c r="Q62" s="50">
        <v>-0.27</v>
      </c>
      <c r="R62" s="50">
        <v>-0.01</v>
      </c>
      <c r="S62" s="39"/>
      <c r="T62" s="39"/>
      <c r="U62" s="39"/>
      <c r="V62" s="39"/>
      <c r="W62" s="37" cm="1">
        <f t="array" ref="W62">CheckYellowFill(Table248[[#This Row],[MD
(m)]])</f>
        <v>0</v>
      </c>
      <c r="X62" s="39" cm="1">
        <f t="array" ref="X62">isfontcolorred(Table248[[#This Row],[MD
(m)]])</f>
        <v>0</v>
      </c>
      <c r="Y62" s="37">
        <f>IF(Table248[[#This Row],[Plug Depth
Plan
(m)]]&lt;&gt;0,1,0)</f>
        <v>0</v>
      </c>
      <c r="Z62" s="39"/>
      <c r="AA62" s="40" t="str">
        <f>IF(Table248[[#This Row],[Plug Depth
Plan
(m)]]=0,"",ABS(Table248[[#This Row],[Plug Depth
Plan
(m)]]-Table248[[#This Row],[MD
(m)]]))</f>
        <v/>
      </c>
    </row>
    <row r="63" spans="1:27" ht="16" thickBot="1" x14ac:dyDescent="0.25">
      <c r="A63" s="2">
        <v>1758.54</v>
      </c>
      <c r="B63" s="1">
        <v>1738.96</v>
      </c>
      <c r="C63" s="2">
        <v>5.28</v>
      </c>
      <c r="D63" s="2">
        <v>89.46</v>
      </c>
      <c r="E63" s="2">
        <v>1.8</v>
      </c>
      <c r="F63" s="1">
        <v>18.149999999999999</v>
      </c>
      <c r="G63" s="1">
        <v>179.68</v>
      </c>
      <c r="H63" s="1">
        <v>-1.69</v>
      </c>
      <c r="I63" s="1">
        <v>5.98</v>
      </c>
      <c r="J63" s="7">
        <v>1758.54</v>
      </c>
      <c r="K63" s="3">
        <v>1738.94</v>
      </c>
      <c r="L63" s="3">
        <v>5.28</v>
      </c>
      <c r="M63" s="3">
        <v>89.46</v>
      </c>
      <c r="N63" s="8">
        <v>1.8</v>
      </c>
      <c r="O63" s="50">
        <v>18.21</v>
      </c>
      <c r="P63" s="50">
        <v>179.72</v>
      </c>
      <c r="Q63" s="50">
        <v>-1.69</v>
      </c>
      <c r="R63" s="50">
        <v>5.98</v>
      </c>
      <c r="S63" s="39"/>
      <c r="T63" s="39"/>
      <c r="U63" s="39"/>
      <c r="V63" s="39"/>
      <c r="W63" s="37" cm="1">
        <f t="array" ref="W63">CheckYellowFill(Table248[[#This Row],[MD
(m)]])</f>
        <v>0</v>
      </c>
      <c r="X63" s="39" cm="1">
        <f t="array" ref="X63">isfontcolorred(Table248[[#This Row],[MD
(m)]])</f>
        <v>0</v>
      </c>
      <c r="Y63" s="37">
        <f>IF(Table248[[#This Row],[Plug Depth
Plan
(m)]]&lt;&gt;0,1,0)</f>
        <v>0</v>
      </c>
      <c r="Z63" s="39"/>
      <c r="AA63" s="40" t="str">
        <f>IF(Table248[[#This Row],[Plug Depth
Plan
(m)]]=0,"",ABS(Table248[[#This Row],[Plug Depth
Plan
(m)]]-Table248[[#This Row],[MD
(m)]]))</f>
        <v/>
      </c>
    </row>
    <row r="64" spans="1:27" ht="16" thickBot="1" x14ac:dyDescent="0.25">
      <c r="A64" s="2">
        <v>1787.03</v>
      </c>
      <c r="B64" s="1">
        <v>1767.35</v>
      </c>
      <c r="C64" s="2">
        <v>3.85</v>
      </c>
      <c r="D64" s="2">
        <v>99.71</v>
      </c>
      <c r="E64" s="2">
        <v>1.73</v>
      </c>
      <c r="F64" s="1">
        <v>18</v>
      </c>
      <c r="G64" s="1">
        <v>181.94</v>
      </c>
      <c r="H64" s="1">
        <v>-1.51</v>
      </c>
      <c r="I64" s="1">
        <v>10.79</v>
      </c>
      <c r="J64" s="7">
        <v>1787.03</v>
      </c>
      <c r="K64" s="3">
        <v>1767.34</v>
      </c>
      <c r="L64" s="3">
        <v>3.85</v>
      </c>
      <c r="M64" s="3">
        <v>99.71</v>
      </c>
      <c r="N64" s="8">
        <v>1.73</v>
      </c>
      <c r="O64" s="50">
        <v>18.059999999999999</v>
      </c>
      <c r="P64" s="50">
        <v>181.98</v>
      </c>
      <c r="Q64" s="50">
        <v>-1.51</v>
      </c>
      <c r="R64" s="50">
        <v>10.79</v>
      </c>
      <c r="S64" s="39"/>
      <c r="T64" s="41"/>
      <c r="U64" s="39"/>
      <c r="V64" s="41"/>
      <c r="W64" s="37" cm="1">
        <f t="array" ref="W64">CheckYellowFill(Table248[[#This Row],[MD
(m)]])</f>
        <v>0</v>
      </c>
      <c r="X64" s="41" cm="1">
        <f t="array" ref="X64">isfontcolorred(Table248[[#This Row],[MD
(m)]])</f>
        <v>0</v>
      </c>
      <c r="Y64" s="37">
        <f>IF(Table248[[#This Row],[Plug Depth
Plan
(m)]]&lt;&gt;0,1,0)</f>
        <v>0</v>
      </c>
      <c r="Z64" s="41"/>
      <c r="AA64" s="42" t="str">
        <f>IF(Table248[[#This Row],[Plug Depth
Plan
(m)]]=0,"",ABS(Table248[[#This Row],[Plug Depth
Plan
(m)]]-Table248[[#This Row],[MD
(m)]]))</f>
        <v/>
      </c>
    </row>
    <row r="65" spans="1:27" ht="16" thickBot="1" x14ac:dyDescent="0.25">
      <c r="A65" s="2">
        <v>1815.88</v>
      </c>
      <c r="B65" s="1">
        <v>1796.14</v>
      </c>
      <c r="C65" s="2">
        <v>3.88</v>
      </c>
      <c r="D65" s="2">
        <v>98.52</v>
      </c>
      <c r="E65" s="2">
        <v>0.09</v>
      </c>
      <c r="F65" s="1">
        <v>17.690000000000001</v>
      </c>
      <c r="G65" s="1">
        <v>183.86</v>
      </c>
      <c r="H65" s="1">
        <v>0.03</v>
      </c>
      <c r="I65" s="1">
        <v>-1.24</v>
      </c>
      <c r="J65" s="7">
        <v>1815.88</v>
      </c>
      <c r="K65" s="3">
        <v>1796.12</v>
      </c>
      <c r="L65" s="3">
        <v>3.88</v>
      </c>
      <c r="M65" s="3">
        <v>98.52</v>
      </c>
      <c r="N65" s="8">
        <v>0.09</v>
      </c>
      <c r="O65" s="50">
        <v>17.75</v>
      </c>
      <c r="P65" s="50">
        <v>183.9</v>
      </c>
      <c r="Q65" s="50">
        <v>0.03</v>
      </c>
      <c r="R65" s="50">
        <v>-1.24</v>
      </c>
      <c r="S65" s="39"/>
      <c r="T65" s="41"/>
      <c r="U65" s="39"/>
      <c r="V65" s="41"/>
      <c r="W65" s="37" cm="1">
        <f t="array" ref="W65">CheckYellowFill(Table248[[#This Row],[MD
(m)]])</f>
        <v>0</v>
      </c>
      <c r="X65" s="41" cm="1">
        <f t="array" ref="X65">isfontcolorred(Table248[[#This Row],[MD
(m)]])</f>
        <v>0</v>
      </c>
      <c r="Y65" s="37">
        <f>IF(Table248[[#This Row],[Plug Depth
Plan
(m)]]&lt;&gt;0,1,0)</f>
        <v>0</v>
      </c>
      <c r="Z65" s="41"/>
      <c r="AA65" s="42" t="str">
        <f>IF(Table248[[#This Row],[Plug Depth
Plan
(m)]]=0,"",ABS(Table248[[#This Row],[Plug Depth
Plan
(m)]]-Table248[[#This Row],[MD
(m)]]))</f>
        <v/>
      </c>
    </row>
    <row r="66" spans="1:27" ht="16" thickBot="1" x14ac:dyDescent="0.25">
      <c r="A66" s="2">
        <v>1835.01</v>
      </c>
      <c r="B66" s="1">
        <v>1815.23</v>
      </c>
      <c r="C66" s="2">
        <v>3.7</v>
      </c>
      <c r="D66" s="2">
        <v>98.27</v>
      </c>
      <c r="E66" s="2">
        <v>0.28000000000000003</v>
      </c>
      <c r="F66" s="1">
        <v>17.510000000000002</v>
      </c>
      <c r="G66" s="1">
        <v>185.11</v>
      </c>
      <c r="H66" s="1">
        <v>-0.28000000000000003</v>
      </c>
      <c r="I66" s="1">
        <v>-0.39</v>
      </c>
      <c r="J66" s="7">
        <v>1835.01</v>
      </c>
      <c r="K66" s="3">
        <v>1815.21</v>
      </c>
      <c r="L66" s="3">
        <v>3.7</v>
      </c>
      <c r="M66" s="3">
        <v>98.27</v>
      </c>
      <c r="N66" s="8">
        <v>0.28000000000000003</v>
      </c>
      <c r="O66" s="50">
        <v>17.57</v>
      </c>
      <c r="P66" s="50">
        <v>185.15</v>
      </c>
      <c r="Q66" s="50">
        <v>-0.28000000000000003</v>
      </c>
      <c r="R66" s="50">
        <v>-0.4</v>
      </c>
      <c r="S66" s="39"/>
      <c r="T66" s="41"/>
      <c r="U66" s="39"/>
      <c r="V66" s="41"/>
      <c r="W66" s="37" cm="1">
        <f t="array" ref="W66">CheckYellowFill(Table248[[#This Row],[MD
(m)]])</f>
        <v>0</v>
      </c>
      <c r="X66" s="41" cm="1">
        <f t="array" ref="X66">isfontcolorred(Table248[[#This Row],[MD
(m)]])</f>
        <v>0</v>
      </c>
      <c r="Y66" s="37">
        <f>IF(Table248[[#This Row],[Plug Depth
Plan
(m)]]&lt;&gt;0,1,0)</f>
        <v>0</v>
      </c>
      <c r="Z66" s="41"/>
      <c r="AA66" s="42" t="str">
        <f>IF(Table248[[#This Row],[Plug Depth
Plan
(m)]]=0,"",ABS(Table248[[#This Row],[Plug Depth
Plan
(m)]]-Table248[[#This Row],[MD
(m)]]))</f>
        <v/>
      </c>
    </row>
    <row r="67" spans="1:27" ht="16" thickBot="1" x14ac:dyDescent="0.25">
      <c r="A67" s="2">
        <v>1868.38</v>
      </c>
      <c r="B67" s="1">
        <v>1848.54</v>
      </c>
      <c r="C67" s="2">
        <v>2.79</v>
      </c>
      <c r="D67" s="2">
        <v>103.61</v>
      </c>
      <c r="E67" s="2">
        <v>0.86</v>
      </c>
      <c r="F67" s="1">
        <v>17.16</v>
      </c>
      <c r="G67" s="1">
        <v>186.96</v>
      </c>
      <c r="H67" s="1">
        <v>-0.82</v>
      </c>
      <c r="I67" s="1">
        <v>4.8</v>
      </c>
      <c r="J67" s="7">
        <v>1851</v>
      </c>
      <c r="K67" s="3">
        <v>1831.17</v>
      </c>
      <c r="L67" s="3">
        <v>3.7</v>
      </c>
      <c r="M67" s="3">
        <v>98.27</v>
      </c>
      <c r="N67" s="8">
        <v>0</v>
      </c>
      <c r="O67" s="50">
        <v>17.420000000000002</v>
      </c>
      <c r="P67" s="50">
        <v>186.17</v>
      </c>
      <c r="Q67" s="50">
        <v>0</v>
      </c>
      <c r="R67" s="50">
        <v>0</v>
      </c>
      <c r="S67" s="39"/>
      <c r="T67" s="41"/>
      <c r="U67" s="39"/>
      <c r="V67" s="41"/>
      <c r="W67" s="37" cm="1">
        <f t="array" ref="W67">CheckYellowFill(Table248[[#This Row],[MD
(m)]])</f>
        <v>0</v>
      </c>
      <c r="X67" s="41" cm="1">
        <f t="array" ref="X67">isfontcolorred(Table248[[#This Row],[MD
(m)]])</f>
        <v>0</v>
      </c>
      <c r="Y67" s="37">
        <f>IF(Table248[[#This Row],[Plug Depth
Plan
(m)]]&lt;&gt;0,1,0)</f>
        <v>0</v>
      </c>
      <c r="Z67" s="41"/>
      <c r="AA67" s="42" t="str">
        <f>IF(Table248[[#This Row],[Plug Depth
Plan
(m)]]=0,"",ABS(Table248[[#This Row],[Plug Depth
Plan
(m)]]-Table248[[#This Row],[MD
(m)]]))</f>
        <v/>
      </c>
    </row>
    <row r="68" spans="1:27" ht="16" thickBot="1" x14ac:dyDescent="0.25">
      <c r="A68" s="2">
        <v>1897.7</v>
      </c>
      <c r="B68" s="1">
        <v>1877.83</v>
      </c>
      <c r="C68" s="2">
        <v>2.59</v>
      </c>
      <c r="D68" s="2">
        <v>115.88</v>
      </c>
      <c r="E68" s="2">
        <v>0.62</v>
      </c>
      <c r="F68" s="1">
        <v>16.71</v>
      </c>
      <c r="G68" s="1">
        <v>188.25</v>
      </c>
      <c r="H68" s="1">
        <v>-0.2</v>
      </c>
      <c r="I68" s="1">
        <v>12.55</v>
      </c>
      <c r="J68" s="7">
        <v>1865.01</v>
      </c>
      <c r="K68" s="3">
        <v>1845.15</v>
      </c>
      <c r="L68" s="3">
        <v>3.7</v>
      </c>
      <c r="M68" s="3">
        <v>98.27</v>
      </c>
      <c r="N68" s="8">
        <v>0</v>
      </c>
      <c r="O68" s="50">
        <v>17.29</v>
      </c>
      <c r="P68" s="50">
        <v>187.06</v>
      </c>
      <c r="Q68" s="50">
        <v>0</v>
      </c>
      <c r="R68" s="50">
        <v>0</v>
      </c>
      <c r="S68" s="39"/>
      <c r="T68" s="41"/>
      <c r="U68" s="39"/>
      <c r="V68" s="41"/>
      <c r="W68" s="37" cm="1">
        <f t="array" ref="W68">CheckYellowFill(Table248[[#This Row],[MD
(m)]])</f>
        <v>0</v>
      </c>
      <c r="X68" s="41" cm="1">
        <f t="array" ref="X68">isfontcolorred(Table248[[#This Row],[MD
(m)]])</f>
        <v>0</v>
      </c>
      <c r="Y68" s="37">
        <f>IF(Table248[[#This Row],[Plug Depth
Plan
(m)]]&lt;&gt;0,1,0)</f>
        <v>0</v>
      </c>
      <c r="Z68" s="41"/>
      <c r="AA68" s="42" t="str">
        <f>IF(Table248[[#This Row],[Plug Depth
Plan
(m)]]=0,"",ABS(Table248[[#This Row],[Plug Depth
Plan
(m)]]-Table248[[#This Row],[MD
(m)]]))</f>
        <v/>
      </c>
    </row>
    <row r="69" spans="1:27" ht="16" thickBot="1" x14ac:dyDescent="0.25">
      <c r="A69" s="2">
        <v>1926.63</v>
      </c>
      <c r="B69" s="1">
        <v>1906.74</v>
      </c>
      <c r="C69" s="2">
        <v>1.89</v>
      </c>
      <c r="D69" s="2">
        <v>126.16</v>
      </c>
      <c r="E69" s="2">
        <v>0.83</v>
      </c>
      <c r="F69" s="1">
        <v>16.14</v>
      </c>
      <c r="G69" s="1">
        <v>189.22</v>
      </c>
      <c r="H69" s="1">
        <v>-0.73</v>
      </c>
      <c r="I69" s="1">
        <v>10.66</v>
      </c>
      <c r="J69" s="7">
        <v>1891</v>
      </c>
      <c r="K69" s="3">
        <v>1871.09</v>
      </c>
      <c r="L69" s="3">
        <v>3.7</v>
      </c>
      <c r="M69" s="3">
        <v>98.27</v>
      </c>
      <c r="N69" s="8">
        <v>0</v>
      </c>
      <c r="O69" s="50">
        <v>17.05</v>
      </c>
      <c r="P69" s="50">
        <v>188.72</v>
      </c>
      <c r="Q69" s="50">
        <v>0</v>
      </c>
      <c r="R69" s="50">
        <v>0</v>
      </c>
      <c r="S69" s="39"/>
      <c r="T69" s="41"/>
      <c r="U69" s="39"/>
      <c r="V69" s="41"/>
      <c r="W69" s="37" cm="1">
        <f t="array" ref="W69">CheckYellowFill(Table248[[#This Row],[MD
(m)]])</f>
        <v>0</v>
      </c>
      <c r="X69" s="41" cm="1">
        <f t="array" ref="X69">isfontcolorred(Table248[[#This Row],[MD
(m)]])</f>
        <v>0</v>
      </c>
      <c r="Y69" s="37">
        <f>IF(Table248[[#This Row],[Plug Depth
Plan
(m)]]&lt;&gt;0,1,0)</f>
        <v>0</v>
      </c>
      <c r="Z69" s="41"/>
      <c r="AA69" s="42" t="str">
        <f>IF(Table248[[#This Row],[Plug Depth
Plan
(m)]]=0,"",ABS(Table248[[#This Row],[Plug Depth
Plan
(m)]]-Table248[[#This Row],[MD
(m)]]))</f>
        <v/>
      </c>
    </row>
    <row r="70" spans="1:27" ht="16" thickBot="1" x14ac:dyDescent="0.25">
      <c r="A70" s="2">
        <v>1955.63</v>
      </c>
      <c r="B70" s="1">
        <v>1935.73</v>
      </c>
      <c r="C70" s="2">
        <v>1.48</v>
      </c>
      <c r="D70" s="2">
        <v>130.88</v>
      </c>
      <c r="E70" s="2">
        <v>0.45</v>
      </c>
      <c r="F70" s="1">
        <v>15.61</v>
      </c>
      <c r="G70" s="1">
        <v>189.89</v>
      </c>
      <c r="H70" s="1">
        <v>-0.42</v>
      </c>
      <c r="I70" s="1">
        <v>4.88</v>
      </c>
      <c r="J70" s="7">
        <v>1895.01</v>
      </c>
      <c r="K70" s="3">
        <v>1875.09</v>
      </c>
      <c r="L70" s="3">
        <v>3.5659999999999998</v>
      </c>
      <c r="M70" s="3">
        <v>98.27</v>
      </c>
      <c r="N70" s="8">
        <v>1</v>
      </c>
      <c r="O70" s="50">
        <v>17.010000000000002</v>
      </c>
      <c r="P70" s="50">
        <v>188.98</v>
      </c>
      <c r="Q70" s="50">
        <v>-1</v>
      </c>
      <c r="R70" s="50">
        <v>0</v>
      </c>
      <c r="S70" s="39"/>
      <c r="T70" s="41"/>
      <c r="U70" s="39"/>
      <c r="V70" s="41"/>
      <c r="W70" s="37" cm="1">
        <f t="array" ref="W70">CheckYellowFill(Table248[[#This Row],[MD
(m)]])</f>
        <v>0</v>
      </c>
      <c r="X70" s="41" cm="1">
        <f t="array" ref="X70">isfontcolorred(Table248[[#This Row],[MD
(m)]])</f>
        <v>0</v>
      </c>
      <c r="Y70" s="37">
        <f>IF(Table248[[#This Row],[Plug Depth
Plan
(m)]]&lt;&gt;0,1,0)</f>
        <v>0</v>
      </c>
      <c r="Z70" s="41"/>
      <c r="AA70" s="42" t="str">
        <f>IF(Table248[[#This Row],[Plug Depth
Plan
(m)]]=0,"",ABS(Table248[[#This Row],[Plug Depth
Plan
(m)]]-Table248[[#This Row],[MD
(m)]]))</f>
        <v/>
      </c>
    </row>
    <row r="71" spans="1:27" ht="16" thickBot="1" x14ac:dyDescent="0.25">
      <c r="A71" s="2">
        <v>1984.47</v>
      </c>
      <c r="B71" s="1">
        <v>1964.56</v>
      </c>
      <c r="C71" s="2">
        <v>1.26</v>
      </c>
      <c r="D71" s="2">
        <v>163.13</v>
      </c>
      <c r="E71" s="2">
        <v>0.82</v>
      </c>
      <c r="F71" s="1">
        <v>15.07</v>
      </c>
      <c r="G71" s="1">
        <v>190.27</v>
      </c>
      <c r="H71" s="1">
        <v>-0.23</v>
      </c>
      <c r="I71" s="1">
        <v>33.549999999999997</v>
      </c>
      <c r="J71" s="7">
        <v>1925.01</v>
      </c>
      <c r="K71" s="3">
        <v>1905.04</v>
      </c>
      <c r="L71" s="3">
        <v>2.5659999999999998</v>
      </c>
      <c r="M71" s="3">
        <v>98.27</v>
      </c>
      <c r="N71" s="8">
        <v>1</v>
      </c>
      <c r="O71" s="50">
        <v>16.78</v>
      </c>
      <c r="P71" s="50">
        <v>190.56</v>
      </c>
      <c r="Q71" s="50">
        <v>-1</v>
      </c>
      <c r="R71" s="50">
        <v>0</v>
      </c>
      <c r="S71" s="39"/>
      <c r="T71" s="41"/>
      <c r="U71" s="39"/>
      <c r="V71" s="41"/>
      <c r="W71" s="37" cm="1">
        <f t="array" ref="W71">CheckYellowFill(Table248[[#This Row],[MD
(m)]])</f>
        <v>0</v>
      </c>
      <c r="X71" s="41" cm="1">
        <f t="array" ref="X71">isfontcolorred(Table248[[#This Row],[MD
(m)]])</f>
        <v>0</v>
      </c>
      <c r="Y71" s="37">
        <f>IF(Table248[[#This Row],[Plug Depth
Plan
(m)]]&lt;&gt;0,1,0)</f>
        <v>0</v>
      </c>
      <c r="Z71" s="41"/>
      <c r="AA71" s="42" t="str">
        <f>IF(Table248[[#This Row],[Plug Depth
Plan
(m)]]=0,"",ABS(Table248[[#This Row],[Plug Depth
Plan
(m)]]-Table248[[#This Row],[MD
(m)]]))</f>
        <v/>
      </c>
    </row>
    <row r="72" spans="1:27" ht="16" thickBot="1" x14ac:dyDescent="0.25">
      <c r="A72" s="2">
        <v>2013.42</v>
      </c>
      <c r="B72" s="1">
        <v>1993.5</v>
      </c>
      <c r="C72" s="2">
        <v>0.92</v>
      </c>
      <c r="D72" s="2">
        <v>182.59</v>
      </c>
      <c r="E72" s="2">
        <v>0.52</v>
      </c>
      <c r="F72" s="1">
        <v>14.53</v>
      </c>
      <c r="G72" s="1">
        <v>190.35</v>
      </c>
      <c r="H72" s="1">
        <v>-0.35</v>
      </c>
      <c r="I72" s="1">
        <v>20.170000000000002</v>
      </c>
      <c r="J72" s="7">
        <v>1955.01</v>
      </c>
      <c r="K72" s="3">
        <v>1935.02</v>
      </c>
      <c r="L72" s="3">
        <v>1.5660000000000001</v>
      </c>
      <c r="M72" s="3">
        <v>98.27</v>
      </c>
      <c r="N72" s="8">
        <v>1</v>
      </c>
      <c r="O72" s="50">
        <v>16.63</v>
      </c>
      <c r="P72" s="50">
        <v>191.63</v>
      </c>
      <c r="Q72" s="50">
        <v>-1</v>
      </c>
      <c r="R72" s="50">
        <v>0</v>
      </c>
      <c r="S72" s="39"/>
      <c r="T72" s="41"/>
      <c r="U72" s="39"/>
      <c r="V72" s="41"/>
      <c r="W72" s="37" cm="1">
        <f t="array" ref="W72">CheckYellowFill(Table248[[#This Row],[MD
(m)]])</f>
        <v>0</v>
      </c>
      <c r="X72" s="41" cm="1">
        <f t="array" ref="X72">isfontcolorred(Table248[[#This Row],[MD
(m)]])</f>
        <v>0</v>
      </c>
      <c r="Y72" s="37">
        <f>IF(Table248[[#This Row],[Plug Depth
Plan
(m)]]&lt;&gt;0,1,0)</f>
        <v>0</v>
      </c>
      <c r="Z72" s="41"/>
      <c r="AA72" s="42" t="str">
        <f>IF(Table248[[#This Row],[Plug Depth
Plan
(m)]]=0,"",ABS(Table248[[#This Row],[Plug Depth
Plan
(m)]]-Table248[[#This Row],[MD
(m)]]))</f>
        <v/>
      </c>
    </row>
    <row r="73" spans="1:27" ht="16" thickBot="1" x14ac:dyDescent="0.25">
      <c r="A73" s="2">
        <v>2042.48</v>
      </c>
      <c r="B73" s="1">
        <v>2022.56</v>
      </c>
      <c r="C73" s="2">
        <v>0.87</v>
      </c>
      <c r="D73" s="2">
        <v>192.67</v>
      </c>
      <c r="E73" s="2">
        <v>0.17</v>
      </c>
      <c r="F73" s="1">
        <v>14.08</v>
      </c>
      <c r="G73" s="1">
        <v>190.29</v>
      </c>
      <c r="H73" s="1">
        <v>-0.05</v>
      </c>
      <c r="I73" s="1">
        <v>10.41</v>
      </c>
      <c r="J73" s="7">
        <v>1985.01</v>
      </c>
      <c r="K73" s="3">
        <v>1965.02</v>
      </c>
      <c r="L73" s="3">
        <v>0.56599999999999995</v>
      </c>
      <c r="M73" s="3">
        <v>98.27</v>
      </c>
      <c r="N73" s="8">
        <v>1</v>
      </c>
      <c r="O73" s="50">
        <v>16.55</v>
      </c>
      <c r="P73" s="50">
        <v>192.19</v>
      </c>
      <c r="Q73" s="50">
        <v>-1</v>
      </c>
      <c r="R73" s="50">
        <v>0</v>
      </c>
      <c r="S73" s="39"/>
      <c r="T73" s="41"/>
      <c r="U73" s="39"/>
      <c r="V73" s="41"/>
      <c r="W73" s="37" cm="1">
        <f t="array" ref="W73">CheckYellowFill(Table248[[#This Row],[MD
(m)]])</f>
        <v>0</v>
      </c>
      <c r="X73" s="41" cm="1">
        <f t="array" ref="X73">isfontcolorred(Table248[[#This Row],[MD
(m)]])</f>
        <v>0</v>
      </c>
      <c r="Y73" s="37">
        <f>IF(Table248[[#This Row],[Plug Depth
Plan
(m)]]&lt;&gt;0,1,0)</f>
        <v>0</v>
      </c>
      <c r="Z73" s="41"/>
      <c r="AA73" s="42" t="str">
        <f>IF(Table248[[#This Row],[Plug Depth
Plan
(m)]]=0,"",ABS(Table248[[#This Row],[Plug Depth
Plan
(m)]]-Table248[[#This Row],[MD
(m)]]))</f>
        <v/>
      </c>
    </row>
    <row r="74" spans="1:27" ht="16" thickBot="1" x14ac:dyDescent="0.25">
      <c r="A74" s="2">
        <v>2071.31</v>
      </c>
      <c r="B74" s="1">
        <v>2051.39</v>
      </c>
      <c r="C74" s="2">
        <v>0.87</v>
      </c>
      <c r="D74" s="2">
        <v>197.07</v>
      </c>
      <c r="E74" s="2">
        <v>7.0000000000000007E-2</v>
      </c>
      <c r="F74" s="1">
        <v>13.66</v>
      </c>
      <c r="G74" s="1">
        <v>190.18</v>
      </c>
      <c r="H74" s="1">
        <v>0</v>
      </c>
      <c r="I74" s="1">
        <v>4.58</v>
      </c>
      <c r="J74" s="7">
        <v>2002</v>
      </c>
      <c r="K74" s="3">
        <v>1982.01</v>
      </c>
      <c r="L74" s="3">
        <v>0</v>
      </c>
      <c r="M74" s="3">
        <v>359.084</v>
      </c>
      <c r="N74" s="8">
        <v>1</v>
      </c>
      <c r="O74" s="50">
        <v>16.53</v>
      </c>
      <c r="P74" s="50">
        <v>192.27</v>
      </c>
      <c r="Q74" s="50">
        <v>-1</v>
      </c>
      <c r="R74" s="50">
        <v>0</v>
      </c>
      <c r="S74" s="39"/>
      <c r="T74" s="41"/>
      <c r="U74" s="39"/>
      <c r="V74" s="41"/>
      <c r="W74" s="37" cm="1">
        <f t="array" ref="W74">CheckYellowFill(Table248[[#This Row],[MD
(m)]])</f>
        <v>0</v>
      </c>
      <c r="X74" s="41" cm="1">
        <f t="array" ref="X74">isfontcolorred(Table248[[#This Row],[MD
(m)]])</f>
        <v>0</v>
      </c>
      <c r="Y74" s="37">
        <f>IF(Table248[[#This Row],[Plug Depth
Plan
(m)]]&lt;&gt;0,1,0)</f>
        <v>0</v>
      </c>
      <c r="Z74" s="41"/>
      <c r="AA74" s="42" t="str">
        <f>IF(Table248[[#This Row],[Plug Depth
Plan
(m)]]=0,"",ABS(Table248[[#This Row],[Plug Depth
Plan
(m)]]-Table248[[#This Row],[MD
(m)]]))</f>
        <v/>
      </c>
    </row>
    <row r="75" spans="1:27" ht="16" thickBot="1" x14ac:dyDescent="0.25">
      <c r="A75" s="2">
        <v>2100.0300000000002</v>
      </c>
      <c r="B75" s="1">
        <v>2080.1</v>
      </c>
      <c r="C75" s="2">
        <v>0.8</v>
      </c>
      <c r="D75" s="2">
        <v>183.4</v>
      </c>
      <c r="E75" s="2">
        <v>0.22</v>
      </c>
      <c r="F75" s="1">
        <v>13.25</v>
      </c>
      <c r="G75" s="1">
        <v>190.1</v>
      </c>
      <c r="H75" s="1">
        <v>-7.0000000000000007E-2</v>
      </c>
      <c r="I75" s="1">
        <v>-14.28</v>
      </c>
      <c r="J75" s="7">
        <v>2015.01</v>
      </c>
      <c r="K75" s="3">
        <v>1995.02</v>
      </c>
      <c r="L75" s="3">
        <v>0</v>
      </c>
      <c r="M75" s="3">
        <v>359.084</v>
      </c>
      <c r="N75" s="8">
        <v>0</v>
      </c>
      <c r="O75" s="50">
        <v>16.53</v>
      </c>
      <c r="P75" s="50">
        <v>192.27</v>
      </c>
      <c r="Q75" s="50">
        <v>0</v>
      </c>
      <c r="R75" s="50">
        <v>0</v>
      </c>
      <c r="S75" s="39"/>
      <c r="T75" s="41"/>
      <c r="U75" s="39"/>
      <c r="V75" s="41"/>
      <c r="W75" s="37" cm="1">
        <f t="array" ref="W75">CheckYellowFill(Table248[[#This Row],[MD
(m)]])</f>
        <v>0</v>
      </c>
      <c r="X75" s="41" cm="1">
        <f t="array" ref="X75">isfontcolorred(Table248[[#This Row],[MD
(m)]])</f>
        <v>0</v>
      </c>
      <c r="Y75" s="37">
        <f>IF(Table248[[#This Row],[Plug Depth
Plan
(m)]]&lt;&gt;0,1,0)</f>
        <v>0</v>
      </c>
      <c r="Z75" s="41"/>
      <c r="AA75" s="42" t="str">
        <f>IF(Table248[[#This Row],[Plug Depth
Plan
(m)]]=0,"",ABS(Table248[[#This Row],[Plug Depth
Plan
(m)]]-Table248[[#This Row],[MD
(m)]]))</f>
        <v/>
      </c>
    </row>
    <row r="76" spans="1:27" ht="16" thickBot="1" x14ac:dyDescent="0.25">
      <c r="A76" s="2">
        <v>2128.85</v>
      </c>
      <c r="B76" s="1">
        <v>2108.92</v>
      </c>
      <c r="C76" s="2">
        <v>0.85</v>
      </c>
      <c r="D76" s="2">
        <v>213.86</v>
      </c>
      <c r="E76" s="2">
        <v>0.45</v>
      </c>
      <c r="F76" s="1">
        <v>12.87</v>
      </c>
      <c r="G76" s="1">
        <v>189.97</v>
      </c>
      <c r="H76" s="1">
        <v>0.05</v>
      </c>
      <c r="I76" s="1">
        <v>31.71</v>
      </c>
      <c r="J76" s="7">
        <v>2045.01</v>
      </c>
      <c r="K76" s="3">
        <v>2025.02</v>
      </c>
      <c r="L76" s="3">
        <v>0</v>
      </c>
      <c r="M76" s="3">
        <v>359.084</v>
      </c>
      <c r="N76" s="8">
        <v>0</v>
      </c>
      <c r="O76" s="50">
        <v>16.53</v>
      </c>
      <c r="P76" s="50">
        <v>192.27</v>
      </c>
      <c r="Q76" s="50">
        <v>0</v>
      </c>
      <c r="R76" s="50">
        <v>0</v>
      </c>
      <c r="S76" s="39"/>
      <c r="T76" s="41"/>
      <c r="U76" s="39"/>
      <c r="V76" s="41"/>
      <c r="W76" s="37" cm="1">
        <f t="array" ref="W76">CheckYellowFill(Table248[[#This Row],[MD
(m)]])</f>
        <v>0</v>
      </c>
      <c r="X76" s="41" cm="1">
        <f t="array" ref="X76">isfontcolorred(Table248[[#This Row],[MD
(m)]])</f>
        <v>0</v>
      </c>
      <c r="Y76" s="37">
        <f>IF(Table248[[#This Row],[Plug Depth
Plan
(m)]]&lt;&gt;0,1,0)</f>
        <v>0</v>
      </c>
      <c r="Z76" s="41"/>
      <c r="AA76" s="42" t="str">
        <f>IF(Table248[[#This Row],[Plug Depth
Plan
(m)]]=0,"",ABS(Table248[[#This Row],[Plug Depth
Plan
(m)]]-Table248[[#This Row],[MD
(m)]]))</f>
        <v/>
      </c>
    </row>
    <row r="77" spans="1:27" ht="16" thickBot="1" x14ac:dyDescent="0.25">
      <c r="A77" s="2">
        <v>2157.63</v>
      </c>
      <c r="B77" s="1">
        <v>2137.6999999999998</v>
      </c>
      <c r="C77" s="2">
        <v>1.03</v>
      </c>
      <c r="D77" s="2">
        <v>202.06</v>
      </c>
      <c r="E77" s="2">
        <v>0.27</v>
      </c>
      <c r="F77" s="1">
        <v>12.45</v>
      </c>
      <c r="G77" s="1">
        <v>189.75</v>
      </c>
      <c r="H77" s="1">
        <v>0.19</v>
      </c>
      <c r="I77" s="1">
        <v>-12.3</v>
      </c>
      <c r="J77" s="7">
        <v>2075.0100000000002</v>
      </c>
      <c r="K77" s="3">
        <v>2055.02</v>
      </c>
      <c r="L77" s="3">
        <v>0</v>
      </c>
      <c r="M77" s="3">
        <v>359.084</v>
      </c>
      <c r="N77" s="8">
        <v>0</v>
      </c>
      <c r="O77" s="50">
        <v>16.53</v>
      </c>
      <c r="P77" s="50">
        <v>192.27</v>
      </c>
      <c r="Q77" s="50">
        <v>0</v>
      </c>
      <c r="R77" s="50">
        <v>0</v>
      </c>
      <c r="S77" s="39"/>
      <c r="T77" s="41"/>
      <c r="U77" s="39"/>
      <c r="V77" s="41"/>
      <c r="W77" s="37" cm="1">
        <f t="array" ref="W77">CheckYellowFill(Table248[[#This Row],[MD
(m)]])</f>
        <v>0</v>
      </c>
      <c r="X77" s="41" cm="1">
        <f t="array" ref="X77">isfontcolorred(Table248[[#This Row],[MD
(m)]])</f>
        <v>0</v>
      </c>
      <c r="Y77" s="37">
        <f>IF(Table248[[#This Row],[Plug Depth
Plan
(m)]]&lt;&gt;0,1,0)</f>
        <v>0</v>
      </c>
      <c r="Z77" s="41"/>
      <c r="AA77" s="42" t="str">
        <f>IF(Table248[[#This Row],[Plug Depth
Plan
(m)]]=0,"",ABS(Table248[[#This Row],[Plug Depth
Plan
(m)]]-Table248[[#This Row],[MD
(m)]]))</f>
        <v/>
      </c>
    </row>
    <row r="78" spans="1:27" ht="16" thickBot="1" x14ac:dyDescent="0.25">
      <c r="A78" s="2">
        <v>2181</v>
      </c>
      <c r="B78" s="1">
        <v>2161.06</v>
      </c>
      <c r="C78" s="2">
        <v>0.83099999999999996</v>
      </c>
      <c r="D78" s="2">
        <v>191.214</v>
      </c>
      <c r="E78" s="2">
        <v>0.34</v>
      </c>
      <c r="F78" s="1">
        <v>12.09</v>
      </c>
      <c r="G78" s="1">
        <v>189.64</v>
      </c>
      <c r="H78" s="1">
        <v>-0.25</v>
      </c>
      <c r="I78" s="1">
        <v>-13.92</v>
      </c>
      <c r="J78" s="7">
        <v>2105.0100000000002</v>
      </c>
      <c r="K78" s="3">
        <v>2085.02</v>
      </c>
      <c r="L78" s="3">
        <v>0</v>
      </c>
      <c r="M78" s="3">
        <v>359.084</v>
      </c>
      <c r="N78" s="8">
        <v>0</v>
      </c>
      <c r="O78" s="50">
        <v>16.53</v>
      </c>
      <c r="P78" s="50">
        <v>192.27</v>
      </c>
      <c r="Q78" s="50">
        <v>0</v>
      </c>
      <c r="R78" s="50">
        <v>0</v>
      </c>
      <c r="S78" s="39"/>
      <c r="T78" s="41"/>
      <c r="U78" s="39"/>
      <c r="V78" s="41"/>
      <c r="W78" s="37" cm="1">
        <f t="array" ref="W78">CheckYellowFill(Table248[[#This Row],[MD
(m)]])</f>
        <v>0</v>
      </c>
      <c r="X78" s="41" cm="1">
        <f t="array" ref="X78">isfontcolorred(Table248[[#This Row],[MD
(m)]])</f>
        <v>0</v>
      </c>
      <c r="Y78" s="37">
        <f>IF(Table248[[#This Row],[Plug Depth
Plan
(m)]]&lt;&gt;0,1,0)</f>
        <v>0</v>
      </c>
      <c r="Z78" s="41"/>
      <c r="AA78" s="42" t="str">
        <f>IF(Table248[[#This Row],[Plug Depth
Plan
(m)]]=0,"",ABS(Table248[[#This Row],[Plug Depth
Plan
(m)]]-Table248[[#This Row],[MD
(m)]]))</f>
        <v/>
      </c>
    </row>
    <row r="79" spans="1:27" ht="16" thickBot="1" x14ac:dyDescent="0.25">
      <c r="A79" s="2">
        <v>2186.54</v>
      </c>
      <c r="B79" s="1">
        <v>2166.6</v>
      </c>
      <c r="C79" s="2">
        <v>0.79</v>
      </c>
      <c r="D79" s="2">
        <v>187.88</v>
      </c>
      <c r="E79" s="2">
        <v>0.34</v>
      </c>
      <c r="F79" s="1">
        <v>12.02</v>
      </c>
      <c r="G79" s="1">
        <v>189.63</v>
      </c>
      <c r="H79" s="1">
        <v>-0.22</v>
      </c>
      <c r="I79" s="1">
        <v>-18.05</v>
      </c>
      <c r="J79" s="7">
        <v>2135.0100000000002</v>
      </c>
      <c r="K79" s="3">
        <v>2115.02</v>
      </c>
      <c r="L79" s="3">
        <v>0</v>
      </c>
      <c r="M79" s="3">
        <v>359.084</v>
      </c>
      <c r="N79" s="8">
        <v>0</v>
      </c>
      <c r="O79" s="50">
        <v>16.53</v>
      </c>
      <c r="P79" s="50">
        <v>192.27</v>
      </c>
      <c r="Q79" s="50">
        <v>0</v>
      </c>
      <c r="R79" s="50">
        <v>0</v>
      </c>
      <c r="S79" s="39"/>
      <c r="T79" s="41"/>
      <c r="U79" s="39"/>
      <c r="V79" s="41"/>
      <c r="W79" s="37" cm="1">
        <f t="array" ref="W79">CheckYellowFill(Table248[[#This Row],[MD
(m)]])</f>
        <v>0</v>
      </c>
      <c r="X79" s="41" cm="1">
        <f t="array" ref="X79">isfontcolorred(Table248[[#This Row],[MD
(m)]])</f>
        <v>0</v>
      </c>
      <c r="Y79" s="37">
        <f>IF(Table248[[#This Row],[Plug Depth
Plan
(m)]]&lt;&gt;0,1,0)</f>
        <v>0</v>
      </c>
      <c r="Z79" s="41"/>
      <c r="AA79" s="42" t="str">
        <f>IF(Table248[[#This Row],[Plug Depth
Plan
(m)]]=0,"",ABS(Table248[[#This Row],[Plug Depth
Plan
(m)]]-Table248[[#This Row],[MD
(m)]]))</f>
        <v/>
      </c>
    </row>
    <row r="80" spans="1:27" ht="16" thickBot="1" x14ac:dyDescent="0.25">
      <c r="A80" s="2">
        <v>2215.5</v>
      </c>
      <c r="B80" s="1">
        <v>2195.56</v>
      </c>
      <c r="C80" s="2">
        <v>0.65</v>
      </c>
      <c r="D80" s="2">
        <v>171.44</v>
      </c>
      <c r="E80" s="2">
        <v>0.26</v>
      </c>
      <c r="F80" s="1">
        <v>11.66</v>
      </c>
      <c r="G80" s="1">
        <v>189.63</v>
      </c>
      <c r="H80" s="1">
        <v>-0.15</v>
      </c>
      <c r="I80" s="1">
        <v>-17.03</v>
      </c>
      <c r="J80" s="7">
        <v>2165.0100000000002</v>
      </c>
      <c r="K80" s="3">
        <v>2145.02</v>
      </c>
      <c r="L80" s="3">
        <v>0</v>
      </c>
      <c r="M80" s="3">
        <v>359.084</v>
      </c>
      <c r="N80" s="8">
        <v>0</v>
      </c>
      <c r="O80" s="50">
        <v>16.53</v>
      </c>
      <c r="P80" s="50">
        <v>192.27</v>
      </c>
      <c r="Q80" s="50">
        <v>0</v>
      </c>
      <c r="R80" s="50">
        <v>0</v>
      </c>
      <c r="S80" s="39"/>
      <c r="T80" s="41"/>
      <c r="U80" s="39"/>
      <c r="V80" s="41"/>
      <c r="W80" s="37" cm="1">
        <f t="array" ref="W80">CheckYellowFill(Table248[[#This Row],[MD
(m)]])</f>
        <v>0</v>
      </c>
      <c r="X80" s="41" cm="1">
        <f t="array" ref="X80">isfontcolorred(Table248[[#This Row],[MD
(m)]])</f>
        <v>0</v>
      </c>
      <c r="Y80" s="37">
        <f>IF(Table248[[#This Row],[Plug Depth
Plan
(m)]]&lt;&gt;0,1,0)</f>
        <v>0</v>
      </c>
      <c r="Z80" s="41"/>
      <c r="AA80" s="42" t="str">
        <f>IF(Table248[[#This Row],[Plug Depth
Plan
(m)]]=0,"",ABS(Table248[[#This Row],[Plug Depth
Plan
(m)]]-Table248[[#This Row],[MD
(m)]]))</f>
        <v/>
      </c>
    </row>
    <row r="81" spans="1:27" ht="16" thickBot="1" x14ac:dyDescent="0.25">
      <c r="A81" s="2">
        <v>2244.48</v>
      </c>
      <c r="B81" s="1">
        <v>2224.54</v>
      </c>
      <c r="C81" s="2">
        <v>0.61</v>
      </c>
      <c r="D81" s="2">
        <v>173.65</v>
      </c>
      <c r="E81" s="2">
        <v>0.05</v>
      </c>
      <c r="F81" s="1">
        <v>11.34</v>
      </c>
      <c r="G81" s="1">
        <v>189.67</v>
      </c>
      <c r="H81" s="1">
        <v>-0.04</v>
      </c>
      <c r="I81" s="1">
        <v>2.29</v>
      </c>
      <c r="J81" s="7">
        <v>2175.9699999999998</v>
      </c>
      <c r="K81" s="3">
        <v>2155.98</v>
      </c>
      <c r="L81" s="3">
        <v>0</v>
      </c>
      <c r="M81" s="3">
        <v>359.084</v>
      </c>
      <c r="N81" s="8">
        <v>0</v>
      </c>
      <c r="O81" s="50">
        <v>16.53</v>
      </c>
      <c r="P81" s="50">
        <v>192.27</v>
      </c>
      <c r="Q81" s="50">
        <v>0</v>
      </c>
      <c r="R81" s="50">
        <v>0</v>
      </c>
      <c r="S81" s="39"/>
      <c r="T81" s="41"/>
      <c r="U81" s="39"/>
      <c r="V81" s="41"/>
      <c r="W81" s="37" cm="1">
        <f t="array" ref="W81">CheckYellowFill(Table248[[#This Row],[MD
(m)]])</f>
        <v>0</v>
      </c>
      <c r="X81" s="41" cm="1">
        <f t="array" ref="X81">isfontcolorred(Table248[[#This Row],[MD
(m)]])</f>
        <v>0</v>
      </c>
      <c r="Y81" s="37">
        <f>IF(Table248[[#This Row],[Plug Depth
Plan
(m)]]&lt;&gt;0,1,0)</f>
        <v>0</v>
      </c>
      <c r="Z81" s="41"/>
      <c r="AA81" s="42" t="str">
        <f>IF(Table248[[#This Row],[Plug Depth
Plan
(m)]]=0,"",ABS(Table248[[#This Row],[Plug Depth
Plan
(m)]]-Table248[[#This Row],[MD
(m)]]))</f>
        <v/>
      </c>
    </row>
    <row r="82" spans="1:27" ht="16" thickBot="1" x14ac:dyDescent="0.25">
      <c r="A82" s="2">
        <v>2273.52</v>
      </c>
      <c r="B82" s="1">
        <v>2253.58</v>
      </c>
      <c r="C82" s="2">
        <v>1.1599999999999999</v>
      </c>
      <c r="D82" s="2">
        <v>138.59</v>
      </c>
      <c r="E82" s="2">
        <v>0.77</v>
      </c>
      <c r="F82" s="1">
        <v>10.97</v>
      </c>
      <c r="G82" s="1">
        <v>189.88</v>
      </c>
      <c r="H82" s="1">
        <v>0.56999999999999995</v>
      </c>
      <c r="I82" s="1">
        <v>-36.22</v>
      </c>
      <c r="J82" s="7">
        <v>2195.0100000000002</v>
      </c>
      <c r="K82" s="3">
        <v>2175.02</v>
      </c>
      <c r="L82" s="3">
        <v>0</v>
      </c>
      <c r="M82" s="3">
        <v>359.084</v>
      </c>
      <c r="N82" s="8">
        <v>0</v>
      </c>
      <c r="O82" s="50">
        <v>16.53</v>
      </c>
      <c r="P82" s="50">
        <v>192.27</v>
      </c>
      <c r="Q82" s="50">
        <v>0</v>
      </c>
      <c r="R82" s="50">
        <v>0</v>
      </c>
      <c r="S82" s="39"/>
      <c r="T82" s="41"/>
      <c r="U82" s="39"/>
      <c r="V82" s="41"/>
      <c r="W82" s="37" cm="1">
        <f t="array" ref="W82">CheckYellowFill(Table248[[#This Row],[MD
(m)]])</f>
        <v>0</v>
      </c>
      <c r="X82" s="41" cm="1">
        <f t="array" ref="X82">isfontcolorred(Table248[[#This Row],[MD
(m)]])</f>
        <v>0</v>
      </c>
      <c r="Y82" s="37">
        <f>IF(Table248[[#This Row],[Plug Depth
Plan
(m)]]&lt;&gt;0,1,0)</f>
        <v>0</v>
      </c>
      <c r="Z82" s="41"/>
      <c r="AA82" s="42" t="str">
        <f>IF(Table248[[#This Row],[Plug Depth
Plan
(m)]]=0,"",ABS(Table248[[#This Row],[Plug Depth
Plan
(m)]]-Table248[[#This Row],[MD
(m)]]))</f>
        <v/>
      </c>
    </row>
    <row r="83" spans="1:27" ht="16" thickBot="1" x14ac:dyDescent="0.25">
      <c r="A83" s="2">
        <v>2302.4299999999998</v>
      </c>
      <c r="B83" s="1">
        <v>2282.48</v>
      </c>
      <c r="C83" s="2">
        <v>1.0900000000000001</v>
      </c>
      <c r="D83" s="2">
        <v>138.19999999999999</v>
      </c>
      <c r="E83" s="2">
        <v>7.0000000000000007E-2</v>
      </c>
      <c r="F83" s="1">
        <v>10.54</v>
      </c>
      <c r="G83" s="1">
        <v>190.26</v>
      </c>
      <c r="H83" s="1">
        <v>-7.0000000000000007E-2</v>
      </c>
      <c r="I83" s="1">
        <v>-0.4</v>
      </c>
      <c r="J83" s="7">
        <v>2225.0100000000002</v>
      </c>
      <c r="K83" s="3">
        <v>2205.02</v>
      </c>
      <c r="L83" s="3">
        <v>0</v>
      </c>
      <c r="M83" s="3">
        <v>359.084</v>
      </c>
      <c r="N83" s="8">
        <v>0</v>
      </c>
      <c r="O83" s="50">
        <v>16.53</v>
      </c>
      <c r="P83" s="50">
        <v>192.27</v>
      </c>
      <c r="Q83" s="50">
        <v>0</v>
      </c>
      <c r="R83" s="50">
        <v>0</v>
      </c>
      <c r="S83" s="39"/>
      <c r="T83" s="41"/>
      <c r="U83" s="39"/>
      <c r="V83" s="41"/>
      <c r="W83" s="37" cm="1">
        <f t="array" ref="W83">CheckYellowFill(Table248[[#This Row],[MD
(m)]])</f>
        <v>0</v>
      </c>
      <c r="X83" s="41" cm="1">
        <f t="array" ref="X83">isfontcolorred(Table248[[#This Row],[MD
(m)]])</f>
        <v>0</v>
      </c>
      <c r="Y83" s="37">
        <f>IF(Table248[[#This Row],[Plug Depth
Plan
(m)]]&lt;&gt;0,1,0)</f>
        <v>0</v>
      </c>
      <c r="Z83" s="41"/>
      <c r="AA83" s="42" t="str">
        <f>IF(Table248[[#This Row],[Plug Depth
Plan
(m)]]=0,"",ABS(Table248[[#This Row],[Plug Depth
Plan
(m)]]-Table248[[#This Row],[MD
(m)]]))</f>
        <v/>
      </c>
    </row>
    <row r="84" spans="1:27" ht="16" thickBot="1" x14ac:dyDescent="0.25">
      <c r="A84" s="2">
        <v>2331.5700000000002</v>
      </c>
      <c r="B84" s="1">
        <v>2311.61</v>
      </c>
      <c r="C84" s="2">
        <v>1.1200000000000001</v>
      </c>
      <c r="D84" s="2">
        <v>124.78</v>
      </c>
      <c r="E84" s="2">
        <v>0.27</v>
      </c>
      <c r="F84" s="1">
        <v>10.17</v>
      </c>
      <c r="G84" s="1">
        <v>190.68</v>
      </c>
      <c r="H84" s="1">
        <v>0.03</v>
      </c>
      <c r="I84" s="1">
        <v>-13.82</v>
      </c>
      <c r="J84" s="7">
        <v>2255.0100000000002</v>
      </c>
      <c r="K84" s="3">
        <v>2235.02</v>
      </c>
      <c r="L84" s="3">
        <v>0</v>
      </c>
      <c r="M84" s="3">
        <v>359.084</v>
      </c>
      <c r="N84" s="8">
        <v>0</v>
      </c>
      <c r="O84" s="50">
        <v>16.53</v>
      </c>
      <c r="P84" s="50">
        <v>192.27</v>
      </c>
      <c r="Q84" s="50">
        <v>0</v>
      </c>
      <c r="R84" s="50">
        <v>0</v>
      </c>
      <c r="S84" s="39"/>
      <c r="T84" s="41"/>
      <c r="U84" s="39"/>
      <c r="V84" s="41"/>
      <c r="W84" s="37" cm="1">
        <f t="array" ref="W84">CheckYellowFill(Table248[[#This Row],[MD
(m)]])</f>
        <v>0</v>
      </c>
      <c r="X84" s="41" cm="1">
        <f t="array" ref="X84">isfontcolorred(Table248[[#This Row],[MD
(m)]])</f>
        <v>0</v>
      </c>
      <c r="Y84" s="37">
        <f>IF(Table248[[#This Row],[Plug Depth
Plan
(m)]]&lt;&gt;0,1,0)</f>
        <v>0</v>
      </c>
      <c r="Z84" s="41"/>
      <c r="AA84" s="42" t="str">
        <f>IF(Table248[[#This Row],[Plug Depth
Plan
(m)]]=0,"",ABS(Table248[[#This Row],[Plug Depth
Plan
(m)]]-Table248[[#This Row],[MD
(m)]]))</f>
        <v/>
      </c>
    </row>
    <row r="85" spans="1:27" ht="16" thickBot="1" x14ac:dyDescent="0.25">
      <c r="A85" s="2">
        <v>2360.35</v>
      </c>
      <c r="B85" s="1">
        <v>2340.39</v>
      </c>
      <c r="C85" s="2">
        <v>1.23</v>
      </c>
      <c r="D85" s="2">
        <v>126.57</v>
      </c>
      <c r="E85" s="2">
        <v>0.12</v>
      </c>
      <c r="F85" s="1">
        <v>9.83</v>
      </c>
      <c r="G85" s="1">
        <v>191.15</v>
      </c>
      <c r="H85" s="1">
        <v>0.11</v>
      </c>
      <c r="I85" s="1">
        <v>1.87</v>
      </c>
      <c r="J85" s="7">
        <v>2285.0100000000002</v>
      </c>
      <c r="K85" s="3">
        <v>2265.02</v>
      </c>
      <c r="L85" s="3">
        <v>0</v>
      </c>
      <c r="M85" s="3">
        <v>359.084</v>
      </c>
      <c r="N85" s="8">
        <v>0</v>
      </c>
      <c r="O85" s="50">
        <v>16.53</v>
      </c>
      <c r="P85" s="50">
        <v>192.27</v>
      </c>
      <c r="Q85" s="50">
        <v>0</v>
      </c>
      <c r="R85" s="50">
        <v>0</v>
      </c>
      <c r="S85" s="39"/>
      <c r="T85" s="41"/>
      <c r="U85" s="39"/>
      <c r="V85" s="41"/>
      <c r="W85" s="37" cm="1">
        <f t="array" ref="W85">CheckYellowFill(Table248[[#This Row],[MD
(m)]])</f>
        <v>0</v>
      </c>
      <c r="X85" s="41" cm="1">
        <f t="array" ref="X85">isfontcolorred(Table248[[#This Row],[MD
(m)]])</f>
        <v>0</v>
      </c>
      <c r="Y85" s="37">
        <f>IF(Table248[[#This Row],[Plug Depth
Plan
(m)]]&lt;&gt;0,1,0)</f>
        <v>0</v>
      </c>
      <c r="Z85" s="41"/>
      <c r="AA85" s="42" t="str">
        <f>IF(Table248[[#This Row],[Plug Depth
Plan
(m)]]=0,"",ABS(Table248[[#This Row],[Plug Depth
Plan
(m)]]-Table248[[#This Row],[MD
(m)]]))</f>
        <v/>
      </c>
    </row>
    <row r="86" spans="1:27" ht="16" thickBot="1" x14ac:dyDescent="0.25">
      <c r="A86" s="2">
        <v>2389.44</v>
      </c>
      <c r="B86" s="1">
        <v>2369.4699999999998</v>
      </c>
      <c r="C86" s="2">
        <v>1.08</v>
      </c>
      <c r="D86" s="2">
        <v>126.42</v>
      </c>
      <c r="E86" s="2">
        <v>0.15</v>
      </c>
      <c r="F86" s="1">
        <v>9.48</v>
      </c>
      <c r="G86" s="1">
        <v>191.63</v>
      </c>
      <c r="H86" s="1">
        <v>-0.15</v>
      </c>
      <c r="I86" s="1">
        <v>-0.15</v>
      </c>
      <c r="J86" s="7">
        <v>2315.0100000000002</v>
      </c>
      <c r="K86" s="3">
        <v>2295.02</v>
      </c>
      <c r="L86" s="3">
        <v>0</v>
      </c>
      <c r="M86" s="3">
        <v>359.084</v>
      </c>
      <c r="N86" s="8">
        <v>0</v>
      </c>
      <c r="O86" s="50">
        <v>16.53</v>
      </c>
      <c r="P86" s="50">
        <v>192.27</v>
      </c>
      <c r="Q86" s="50">
        <v>0</v>
      </c>
      <c r="R86" s="50">
        <v>0</v>
      </c>
      <c r="S86" s="39"/>
      <c r="T86" s="41"/>
      <c r="U86" s="39"/>
      <c r="V86" s="41"/>
      <c r="W86" s="37" cm="1">
        <f t="array" ref="W86">CheckYellowFill(Table248[[#This Row],[MD
(m)]])</f>
        <v>0</v>
      </c>
      <c r="X86" s="41" cm="1">
        <f t="array" ref="X86">isfontcolorred(Table248[[#This Row],[MD
(m)]])</f>
        <v>0</v>
      </c>
      <c r="Y86" s="37">
        <f>IF(Table248[[#This Row],[Plug Depth
Plan
(m)]]&lt;&gt;0,1,0)</f>
        <v>0</v>
      </c>
      <c r="Z86" s="41"/>
      <c r="AA86" s="42" t="str">
        <f>IF(Table248[[#This Row],[Plug Depth
Plan
(m)]]=0,"",ABS(Table248[[#This Row],[Plug Depth
Plan
(m)]]-Table248[[#This Row],[MD
(m)]]))</f>
        <v/>
      </c>
    </row>
    <row r="87" spans="1:27" ht="16" thickBot="1" x14ac:dyDescent="0.25">
      <c r="A87" s="2">
        <v>2418.44</v>
      </c>
      <c r="B87" s="1">
        <v>2398.4699999999998</v>
      </c>
      <c r="C87" s="2">
        <v>1.02</v>
      </c>
      <c r="D87" s="2">
        <v>112.82</v>
      </c>
      <c r="E87" s="2">
        <v>0.26</v>
      </c>
      <c r="F87" s="1">
        <v>9.2200000000000006</v>
      </c>
      <c r="G87" s="1">
        <v>192.08</v>
      </c>
      <c r="H87" s="1">
        <v>-0.06</v>
      </c>
      <c r="I87" s="1">
        <v>-14.07</v>
      </c>
      <c r="J87" s="7">
        <v>2345.0100000000002</v>
      </c>
      <c r="K87" s="3">
        <v>2325.02</v>
      </c>
      <c r="L87" s="3">
        <v>0</v>
      </c>
      <c r="M87" s="3">
        <v>359.084</v>
      </c>
      <c r="N87" s="8">
        <v>0</v>
      </c>
      <c r="O87" s="50">
        <v>16.53</v>
      </c>
      <c r="P87" s="50">
        <v>192.27</v>
      </c>
      <c r="Q87" s="50">
        <v>0</v>
      </c>
      <c r="R87" s="50">
        <v>0</v>
      </c>
      <c r="S87" s="39"/>
      <c r="T87" s="41"/>
      <c r="U87" s="39"/>
      <c r="V87" s="41"/>
      <c r="W87" s="37" cm="1">
        <f t="array" ref="W87">CheckYellowFill(Table248[[#This Row],[MD
(m)]])</f>
        <v>0</v>
      </c>
      <c r="X87" s="41" cm="1">
        <f t="array" ref="X87">isfontcolorred(Table248[[#This Row],[MD
(m)]])</f>
        <v>0</v>
      </c>
      <c r="Y87" s="37">
        <f>IF(Table248[[#This Row],[Plug Depth
Plan
(m)]]&lt;&gt;0,1,0)</f>
        <v>0</v>
      </c>
      <c r="Z87" s="41"/>
      <c r="AA87" s="42" t="str">
        <f>IF(Table248[[#This Row],[Plug Depth
Plan
(m)]]=0,"",ABS(Table248[[#This Row],[Plug Depth
Plan
(m)]]-Table248[[#This Row],[MD
(m)]]))</f>
        <v/>
      </c>
    </row>
    <row r="88" spans="1:27" ht="16" thickBot="1" x14ac:dyDescent="0.25">
      <c r="A88" s="2">
        <v>2447.41</v>
      </c>
      <c r="B88" s="1">
        <v>2427.4299999999998</v>
      </c>
      <c r="C88" s="2">
        <v>0.89</v>
      </c>
      <c r="D88" s="2">
        <v>107.19</v>
      </c>
      <c r="E88" s="2">
        <v>0.17</v>
      </c>
      <c r="F88" s="1">
        <v>9.0500000000000007</v>
      </c>
      <c r="G88" s="1">
        <v>192.54</v>
      </c>
      <c r="H88" s="1">
        <v>-0.13</v>
      </c>
      <c r="I88" s="1">
        <v>-5.83</v>
      </c>
      <c r="J88" s="7">
        <v>2375.0100000000002</v>
      </c>
      <c r="K88" s="3">
        <v>2355.02</v>
      </c>
      <c r="L88" s="3">
        <v>0</v>
      </c>
      <c r="M88" s="3">
        <v>359.084</v>
      </c>
      <c r="N88" s="8">
        <v>0</v>
      </c>
      <c r="O88" s="50">
        <v>16.53</v>
      </c>
      <c r="P88" s="50">
        <v>192.27</v>
      </c>
      <c r="Q88" s="50">
        <v>0</v>
      </c>
      <c r="R88" s="50">
        <v>0</v>
      </c>
      <c r="S88" s="39"/>
      <c r="T88" s="41"/>
      <c r="U88" s="39"/>
      <c r="V88" s="41"/>
      <c r="W88" s="37" cm="1">
        <f t="array" ref="W88">CheckYellowFill(Table248[[#This Row],[MD
(m)]])</f>
        <v>0</v>
      </c>
      <c r="X88" s="41" cm="1">
        <f t="array" ref="X88">isfontcolorred(Table248[[#This Row],[MD
(m)]])</f>
        <v>0</v>
      </c>
      <c r="Y88" s="37">
        <f>IF(Table248[[#This Row],[Plug Depth
Plan
(m)]]&lt;&gt;0,1,0)</f>
        <v>0</v>
      </c>
      <c r="Z88" s="41"/>
      <c r="AA88" s="42" t="str">
        <f>IF(Table248[[#This Row],[Plug Depth
Plan
(m)]]=0,"",ABS(Table248[[#This Row],[Plug Depth
Plan
(m)]]-Table248[[#This Row],[MD
(m)]]))</f>
        <v/>
      </c>
    </row>
    <row r="89" spans="1:27" ht="16" thickBot="1" x14ac:dyDescent="0.25">
      <c r="A89" s="2">
        <v>2474</v>
      </c>
      <c r="B89" s="1">
        <v>2454.02</v>
      </c>
      <c r="C89" s="2">
        <v>0.61599999999999999</v>
      </c>
      <c r="D89" s="2">
        <v>105.691</v>
      </c>
      <c r="E89" s="2">
        <v>0.31</v>
      </c>
      <c r="F89" s="1">
        <v>8.9499999999999993</v>
      </c>
      <c r="G89" s="1">
        <v>192.87</v>
      </c>
      <c r="H89" s="1">
        <v>-0.31</v>
      </c>
      <c r="I89" s="1">
        <v>-1.69</v>
      </c>
      <c r="J89" s="7">
        <v>2405.0100000000002</v>
      </c>
      <c r="K89" s="3">
        <v>2385.02</v>
      </c>
      <c r="L89" s="3">
        <v>0</v>
      </c>
      <c r="M89" s="3">
        <v>359.084</v>
      </c>
      <c r="N89" s="8">
        <v>0</v>
      </c>
      <c r="O89" s="50">
        <v>16.53</v>
      </c>
      <c r="P89" s="50">
        <v>192.27</v>
      </c>
      <c r="Q89" s="50">
        <v>0</v>
      </c>
      <c r="R89" s="50">
        <v>0</v>
      </c>
      <c r="S89" s="39"/>
      <c r="T89" s="39"/>
      <c r="U89" s="39"/>
      <c r="V89" s="39"/>
      <c r="W89" s="37" cm="1">
        <f t="array" ref="W89">CheckYellowFill(Table248[[#This Row],[MD
(m)]])</f>
        <v>0</v>
      </c>
      <c r="X89" s="39" cm="1">
        <f t="array" ref="X89">isfontcolorred(Table248[[#This Row],[MD
(m)]])</f>
        <v>0</v>
      </c>
      <c r="Y89" s="37">
        <f>IF(Table248[[#This Row],[Plug Depth
Plan
(m)]]&lt;&gt;0,1,0)</f>
        <v>0</v>
      </c>
      <c r="Z89" s="39"/>
      <c r="AA89" s="40" t="str">
        <f>IF(Table248[[#This Row],[Plug Depth
Plan
(m)]]=0,"",ABS(Table248[[#This Row],[Plug Depth
Plan
(m)]]-Table248[[#This Row],[MD
(m)]]))</f>
        <v/>
      </c>
    </row>
    <row r="90" spans="1:27" ht="16" thickBot="1" x14ac:dyDescent="0.25">
      <c r="A90" s="2">
        <v>2476.48</v>
      </c>
      <c r="B90" s="1">
        <v>2456.5</v>
      </c>
      <c r="C90" s="2">
        <v>0.59</v>
      </c>
      <c r="D90" s="2">
        <v>105.48</v>
      </c>
      <c r="E90" s="2">
        <v>0.31</v>
      </c>
      <c r="F90" s="1">
        <v>8.94</v>
      </c>
      <c r="G90" s="1">
        <v>192.9</v>
      </c>
      <c r="H90" s="1">
        <v>-0.31</v>
      </c>
      <c r="I90" s="1">
        <v>-2.5499999999999998</v>
      </c>
      <c r="J90" s="7">
        <v>2435.0100000000002</v>
      </c>
      <c r="K90" s="3">
        <v>2415.02</v>
      </c>
      <c r="L90" s="3">
        <v>0</v>
      </c>
      <c r="M90" s="3">
        <v>359.084</v>
      </c>
      <c r="N90" s="8">
        <v>0</v>
      </c>
      <c r="O90" s="50">
        <v>16.53</v>
      </c>
      <c r="P90" s="50">
        <v>192.27</v>
      </c>
      <c r="Q90" s="50">
        <v>0</v>
      </c>
      <c r="R90" s="50">
        <v>0</v>
      </c>
      <c r="S90" s="39"/>
      <c r="T90" s="39"/>
      <c r="U90" s="39"/>
      <c r="V90" s="39"/>
      <c r="W90" s="37" cm="1">
        <f t="array" ref="W90">CheckYellowFill(Table248[[#This Row],[MD
(m)]])</f>
        <v>0</v>
      </c>
      <c r="X90" s="39" cm="1">
        <f t="array" ref="X90">isfontcolorred(Table248[[#This Row],[MD
(m)]])</f>
        <v>0</v>
      </c>
      <c r="Y90" s="37">
        <f>IF(Table248[[#This Row],[Plug Depth
Plan
(m)]]&lt;&gt;0,1,0)</f>
        <v>0</v>
      </c>
      <c r="Z90" s="39"/>
      <c r="AA90" s="40" t="str">
        <f>IF(Table248[[#This Row],[Plug Depth
Plan
(m)]]=0,"",ABS(Table248[[#This Row],[Plug Depth
Plan
(m)]]-Table248[[#This Row],[MD
(m)]]))</f>
        <v/>
      </c>
    </row>
    <row r="91" spans="1:27" ht="16" thickBot="1" x14ac:dyDescent="0.25">
      <c r="A91" s="2">
        <v>2505.44</v>
      </c>
      <c r="B91" s="1">
        <v>2485.4499999999998</v>
      </c>
      <c r="C91" s="2">
        <v>2.73</v>
      </c>
      <c r="D91" s="2">
        <v>1.24</v>
      </c>
      <c r="E91" s="2">
        <v>3.04</v>
      </c>
      <c r="F91" s="1">
        <v>9.59</v>
      </c>
      <c r="G91" s="1">
        <v>193.05</v>
      </c>
      <c r="H91" s="1">
        <v>2.2200000000000002</v>
      </c>
      <c r="I91" s="1">
        <v>-107.98</v>
      </c>
      <c r="J91" s="7">
        <v>2465.0100000000002</v>
      </c>
      <c r="K91" s="3">
        <v>2445.02</v>
      </c>
      <c r="L91" s="3">
        <v>0</v>
      </c>
      <c r="M91" s="3">
        <v>359.084</v>
      </c>
      <c r="N91" s="8">
        <v>0</v>
      </c>
      <c r="O91" s="50">
        <v>16.53</v>
      </c>
      <c r="P91" s="50">
        <v>192.27</v>
      </c>
      <c r="Q91" s="50">
        <v>0</v>
      </c>
      <c r="R91" s="50">
        <v>0</v>
      </c>
      <c r="S91" s="39"/>
      <c r="T91" s="39"/>
      <c r="U91" s="39"/>
      <c r="V91" s="39"/>
      <c r="W91" s="37" cm="1">
        <f t="array" ref="W91">CheckYellowFill(Table248[[#This Row],[MD
(m)]])</f>
        <v>0</v>
      </c>
      <c r="X91" s="39" cm="1">
        <f t="array" ref="X91">isfontcolorred(Table248[[#This Row],[MD
(m)]])</f>
        <v>0</v>
      </c>
      <c r="Y91" s="37">
        <f>IF(Table248[[#This Row],[Plug Depth
Plan
(m)]]&lt;&gt;0,1,0)</f>
        <v>0</v>
      </c>
      <c r="Z91" s="39"/>
      <c r="AA91" s="40" t="str">
        <f>IF(Table248[[#This Row],[Plug Depth
Plan
(m)]]=0,"",ABS(Table248[[#This Row],[Plug Depth
Plan
(m)]]-Table248[[#This Row],[MD
(m)]]))</f>
        <v/>
      </c>
    </row>
    <row r="92" spans="1:27" ht="16" thickBot="1" x14ac:dyDescent="0.25">
      <c r="A92" s="2">
        <v>2534.2800000000002</v>
      </c>
      <c r="B92" s="1">
        <v>2514.13</v>
      </c>
      <c r="C92" s="2">
        <v>8.89</v>
      </c>
      <c r="D92" s="2">
        <v>356.48</v>
      </c>
      <c r="E92" s="2">
        <v>6.42</v>
      </c>
      <c r="F92" s="1">
        <v>12.51</v>
      </c>
      <c r="G92" s="1">
        <v>192.93</v>
      </c>
      <c r="H92" s="1">
        <v>6.41</v>
      </c>
      <c r="I92" s="1">
        <v>-4.95</v>
      </c>
      <c r="J92" s="7">
        <v>2465.9699999999998</v>
      </c>
      <c r="K92" s="3">
        <v>2445.98</v>
      </c>
      <c r="L92" s="3">
        <v>0</v>
      </c>
      <c r="M92" s="3">
        <v>359.084</v>
      </c>
      <c r="N92" s="8">
        <v>0</v>
      </c>
      <c r="O92" s="50">
        <v>16.53</v>
      </c>
      <c r="P92" s="50">
        <v>192.27</v>
      </c>
      <c r="Q92" s="50">
        <v>0</v>
      </c>
      <c r="R92" s="50">
        <v>0</v>
      </c>
      <c r="S92" s="41"/>
      <c r="T92" s="41"/>
      <c r="U92" s="41"/>
      <c r="V92" s="41"/>
      <c r="W92" s="37" cm="1">
        <f t="array" ref="W92">CheckYellowFill(Table248[[#This Row],[MD
(m)]])</f>
        <v>0</v>
      </c>
      <c r="X92" s="41" cm="1">
        <f t="array" ref="X92">isfontcolorred(Table248[[#This Row],[MD
(m)]])</f>
        <v>0</v>
      </c>
      <c r="Y92" s="37">
        <f>IF(Table248[[#This Row],[Plug Depth
Plan
(m)]]&lt;&gt;0,1,0)</f>
        <v>0</v>
      </c>
      <c r="Z92" s="41"/>
      <c r="AA92" s="42" t="str">
        <f>IF(Table248[[#This Row],[Plug Depth
Plan
(m)]]=0,"",ABS(Table248[[#This Row],[Plug Depth
Plan
(m)]]-Table248[[#This Row],[MD
(m)]]))</f>
        <v/>
      </c>
    </row>
    <row r="93" spans="1:27" ht="16" thickBot="1" x14ac:dyDescent="0.25">
      <c r="A93" s="2">
        <v>2563.2199999999998</v>
      </c>
      <c r="B93" s="1">
        <v>2542.5500000000002</v>
      </c>
      <c r="C93" s="2">
        <v>12.79</v>
      </c>
      <c r="D93" s="2">
        <v>359.32</v>
      </c>
      <c r="E93" s="2">
        <v>4.08</v>
      </c>
      <c r="F93" s="1">
        <v>17.940000000000001</v>
      </c>
      <c r="G93" s="1">
        <v>192.76</v>
      </c>
      <c r="H93" s="1">
        <v>4.04</v>
      </c>
      <c r="I93" s="1">
        <v>2.94</v>
      </c>
      <c r="J93" s="7">
        <v>2495.0100000000002</v>
      </c>
      <c r="K93" s="3">
        <v>2475.02</v>
      </c>
      <c r="L93" s="3">
        <v>0</v>
      </c>
      <c r="M93" s="3">
        <v>359.084</v>
      </c>
      <c r="N93" s="8">
        <v>0</v>
      </c>
      <c r="O93" s="50">
        <v>16.53</v>
      </c>
      <c r="P93" s="50">
        <v>192.27</v>
      </c>
      <c r="Q93" s="50">
        <v>0</v>
      </c>
      <c r="R93" s="50">
        <v>0</v>
      </c>
      <c r="S93" s="41"/>
      <c r="T93" s="41"/>
      <c r="U93" s="41"/>
      <c r="V93" s="41"/>
      <c r="W93" s="37" cm="1">
        <f t="array" ref="W93">CheckYellowFill(Table248[[#This Row],[MD
(m)]])</f>
        <v>0</v>
      </c>
      <c r="X93" s="41" cm="1">
        <f t="array" ref="X93">isfontcolorred(Table248[[#This Row],[MD
(m)]])</f>
        <v>0</v>
      </c>
      <c r="Y93" s="37">
        <f>IF(Table248[[#This Row],[Plug Depth
Plan
(m)]]&lt;&gt;0,1,0)</f>
        <v>0</v>
      </c>
      <c r="Z93" s="41"/>
      <c r="AA93" s="42" t="str">
        <f>IF(Table248[[#This Row],[Plug Depth
Plan
(m)]]=0,"",ABS(Table248[[#This Row],[Plug Depth
Plan
(m)]]-Table248[[#This Row],[MD
(m)]]))</f>
        <v/>
      </c>
    </row>
    <row r="94" spans="1:27" ht="16" thickBot="1" x14ac:dyDescent="0.25">
      <c r="A94" s="2">
        <v>2592.0500000000002</v>
      </c>
      <c r="B94" s="1">
        <v>2570.48</v>
      </c>
      <c r="C94" s="2">
        <v>15.8</v>
      </c>
      <c r="D94" s="2">
        <v>7.29</v>
      </c>
      <c r="E94" s="2">
        <v>3.74</v>
      </c>
      <c r="F94" s="1">
        <v>25.03</v>
      </c>
      <c r="G94" s="1">
        <v>193.22</v>
      </c>
      <c r="H94" s="1">
        <v>3.13</v>
      </c>
      <c r="I94" s="1">
        <v>8.2899999999999991</v>
      </c>
      <c r="J94" s="7">
        <v>2525.0100000000002</v>
      </c>
      <c r="K94" s="3">
        <v>2505.02</v>
      </c>
      <c r="L94" s="3">
        <v>0</v>
      </c>
      <c r="M94" s="3">
        <v>359.084</v>
      </c>
      <c r="N94" s="8">
        <v>0</v>
      </c>
      <c r="O94" s="50">
        <v>16.53</v>
      </c>
      <c r="P94" s="50">
        <v>192.27</v>
      </c>
      <c r="Q94" s="50">
        <v>0</v>
      </c>
      <c r="R94" s="50">
        <v>0</v>
      </c>
      <c r="S94" s="41"/>
      <c r="T94" s="41"/>
      <c r="U94" s="41"/>
      <c r="V94" s="41"/>
      <c r="W94" s="37" cm="1">
        <f t="array" ref="W94">CheckYellowFill(Table248[[#This Row],[MD
(m)]])</f>
        <v>0</v>
      </c>
      <c r="X94" s="41" cm="1">
        <f t="array" ref="X94">isfontcolorred(Table248[[#This Row],[MD
(m)]])</f>
        <v>0</v>
      </c>
      <c r="Y94" s="37">
        <f>IF(Table248[[#This Row],[Plug Depth
Plan
(m)]]&lt;&gt;0,1,0)</f>
        <v>0</v>
      </c>
      <c r="Z94" s="41"/>
      <c r="AA94" s="42" t="str">
        <f>IF(Table248[[#This Row],[Plug Depth
Plan
(m)]]=0,"",ABS(Table248[[#This Row],[Plug Depth
Plan
(m)]]-Table248[[#This Row],[MD
(m)]]))</f>
        <v/>
      </c>
    </row>
    <row r="95" spans="1:27" ht="16" thickBot="1" x14ac:dyDescent="0.25">
      <c r="A95" s="2">
        <v>2620.88</v>
      </c>
      <c r="B95" s="1">
        <v>2597.86</v>
      </c>
      <c r="C95" s="2">
        <v>20.66</v>
      </c>
      <c r="D95" s="2">
        <v>6.07</v>
      </c>
      <c r="E95" s="2">
        <v>5.07</v>
      </c>
      <c r="F95" s="1">
        <v>33.99</v>
      </c>
      <c r="G95" s="1">
        <v>194.25</v>
      </c>
      <c r="H95" s="1">
        <v>5.0599999999999996</v>
      </c>
      <c r="I95" s="1">
        <v>-1.27</v>
      </c>
      <c r="J95" s="7">
        <v>2543.64</v>
      </c>
      <c r="K95" s="3">
        <v>2523.65</v>
      </c>
      <c r="L95" s="3">
        <v>0</v>
      </c>
      <c r="M95" s="3">
        <v>359.084</v>
      </c>
      <c r="N95" s="8">
        <v>0</v>
      </c>
      <c r="O95" s="50">
        <v>16.53</v>
      </c>
      <c r="P95" s="50">
        <v>192.27</v>
      </c>
      <c r="Q95" s="50">
        <v>0</v>
      </c>
      <c r="R95" s="50">
        <v>0</v>
      </c>
      <c r="S95" s="41"/>
      <c r="T95" s="41"/>
      <c r="U95" s="41"/>
      <c r="V95" s="41"/>
      <c r="W95" s="37" cm="1">
        <f t="array" ref="W95">CheckYellowFill(Table248[[#This Row],[MD
(m)]])</f>
        <v>0</v>
      </c>
      <c r="X95" s="41" cm="1">
        <f t="array" ref="X95">isfontcolorred(Table248[[#This Row],[MD
(m)]])</f>
        <v>0</v>
      </c>
      <c r="Y95" s="37">
        <f>IF(Table248[[#This Row],[Plug Depth
Plan
(m)]]&lt;&gt;0,1,0)</f>
        <v>0</v>
      </c>
      <c r="Z95" s="41"/>
      <c r="AA95" s="42" t="str">
        <f>IF(Table248[[#This Row],[Plug Depth
Plan
(m)]]=0,"",ABS(Table248[[#This Row],[Plug Depth
Plan
(m)]]-Table248[[#This Row],[MD
(m)]]))</f>
        <v/>
      </c>
    </row>
    <row r="96" spans="1:27" ht="16" thickBot="1" x14ac:dyDescent="0.25">
      <c r="A96" s="2">
        <v>2649.93</v>
      </c>
      <c r="B96" s="1">
        <v>2624.35</v>
      </c>
      <c r="C96" s="2">
        <v>27.6</v>
      </c>
      <c r="D96" s="2">
        <v>5.61</v>
      </c>
      <c r="E96" s="2">
        <v>7.17</v>
      </c>
      <c r="F96" s="1">
        <v>45.79</v>
      </c>
      <c r="G96" s="1">
        <v>195.46</v>
      </c>
      <c r="H96" s="1">
        <v>7.17</v>
      </c>
      <c r="I96" s="1">
        <v>-0.48</v>
      </c>
      <c r="J96" s="7">
        <v>2555.0100000000002</v>
      </c>
      <c r="K96" s="3">
        <v>2535.0100000000002</v>
      </c>
      <c r="L96" s="3">
        <v>2.5619999999999998</v>
      </c>
      <c r="M96" s="3">
        <v>359.084</v>
      </c>
      <c r="N96" s="8">
        <v>6.76</v>
      </c>
      <c r="O96" s="50">
        <v>16.79</v>
      </c>
      <c r="P96" s="50">
        <v>192.27</v>
      </c>
      <c r="Q96" s="50">
        <v>6.76</v>
      </c>
      <c r="R96" s="50">
        <v>0</v>
      </c>
      <c r="S96" s="41"/>
      <c r="T96" s="41"/>
      <c r="U96" s="41"/>
      <c r="V96" s="41"/>
      <c r="W96" s="37" cm="1">
        <f t="array" ref="W96">CheckYellowFill(Table248[[#This Row],[MD
(m)]])</f>
        <v>0</v>
      </c>
      <c r="X96" s="41" cm="1">
        <f t="array" ref="X96">isfontcolorred(Table248[[#This Row],[MD
(m)]])</f>
        <v>0</v>
      </c>
      <c r="Y96" s="37">
        <f>IF(Table248[[#This Row],[Plug Depth
Plan
(m)]]&lt;&gt;0,1,0)</f>
        <v>0</v>
      </c>
      <c r="Z96" s="41"/>
      <c r="AA96" s="42" t="str">
        <f>IF(Table248[[#This Row],[Plug Depth
Plan
(m)]]=0,"",ABS(Table248[[#This Row],[Plug Depth
Plan
(m)]]-Table248[[#This Row],[MD
(m)]]))</f>
        <v/>
      </c>
    </row>
    <row r="97" spans="1:28" ht="16" thickBot="1" x14ac:dyDescent="0.25">
      <c r="A97" s="2">
        <v>2678.54</v>
      </c>
      <c r="B97" s="1">
        <v>2649.12</v>
      </c>
      <c r="C97" s="2">
        <v>32.43</v>
      </c>
      <c r="D97" s="2">
        <v>1.56</v>
      </c>
      <c r="E97" s="2">
        <v>5.49</v>
      </c>
      <c r="F97" s="1">
        <v>60.07</v>
      </c>
      <c r="G97" s="1">
        <v>196.31</v>
      </c>
      <c r="H97" s="1">
        <v>5.0599999999999996</v>
      </c>
      <c r="I97" s="1">
        <v>-4.25</v>
      </c>
      <c r="J97" s="7">
        <v>2585.0100000000002</v>
      </c>
      <c r="K97" s="3">
        <v>2564.84</v>
      </c>
      <c r="L97" s="3">
        <v>9.32</v>
      </c>
      <c r="M97" s="3">
        <v>359.084</v>
      </c>
      <c r="N97" s="8">
        <v>6.76</v>
      </c>
      <c r="O97" s="50">
        <v>19.89</v>
      </c>
      <c r="P97" s="50">
        <v>192.22</v>
      </c>
      <c r="Q97" s="50">
        <v>6.76</v>
      </c>
      <c r="R97" s="50">
        <v>0</v>
      </c>
      <c r="S97" s="41"/>
      <c r="T97" s="41"/>
      <c r="U97" s="41"/>
      <c r="V97" s="41"/>
      <c r="W97" s="37" cm="1">
        <f t="array" ref="W97">CheckYellowFill(Table248[[#This Row],[MD
(m)]])</f>
        <v>0</v>
      </c>
      <c r="X97" s="41" cm="1">
        <f t="array" ref="X97">isfontcolorred(Table248[[#This Row],[MD
(m)]])</f>
        <v>0</v>
      </c>
      <c r="Y97" s="37">
        <f>IF(Table248[[#This Row],[Plug Depth
Plan
(m)]]&lt;&gt;0,1,0)</f>
        <v>0</v>
      </c>
      <c r="Z97" s="41"/>
      <c r="AA97" s="42" t="str">
        <f>IF(Table248[[#This Row],[Plug Depth
Plan
(m)]]=0,"",ABS(Table248[[#This Row],[Plug Depth
Plan
(m)]]-Table248[[#This Row],[MD
(m)]]))</f>
        <v/>
      </c>
    </row>
    <row r="98" spans="1:28" ht="16" thickBot="1" x14ac:dyDescent="0.25">
      <c r="A98" s="2">
        <v>2707.43</v>
      </c>
      <c r="B98" s="1">
        <v>2672.72</v>
      </c>
      <c r="C98" s="2">
        <v>37.99</v>
      </c>
      <c r="D98" s="2">
        <v>0.42</v>
      </c>
      <c r="E98" s="2">
        <v>5.81</v>
      </c>
      <c r="F98" s="1">
        <v>76.72</v>
      </c>
      <c r="G98" s="1">
        <v>196.59</v>
      </c>
      <c r="H98" s="1">
        <v>5.77</v>
      </c>
      <c r="I98" s="1">
        <v>-1.18</v>
      </c>
      <c r="J98" s="7">
        <v>2615.0100000000002</v>
      </c>
      <c r="K98" s="3">
        <v>2594.08</v>
      </c>
      <c r="L98" s="3">
        <v>16.077999999999999</v>
      </c>
      <c r="M98" s="3">
        <v>359.084</v>
      </c>
      <c r="N98" s="8">
        <v>6.76</v>
      </c>
      <c r="O98" s="50">
        <v>26.48</v>
      </c>
      <c r="P98" s="50">
        <v>192.11</v>
      </c>
      <c r="Q98" s="50">
        <v>6.76</v>
      </c>
      <c r="R98" s="50">
        <v>0</v>
      </c>
      <c r="S98" s="41"/>
      <c r="T98" s="41"/>
      <c r="U98" s="41"/>
      <c r="V98" s="41"/>
      <c r="W98" s="37" cm="1">
        <f t="array" ref="W98">CheckYellowFill(Table248[[#This Row],[MD
(m)]])</f>
        <v>0</v>
      </c>
      <c r="X98" s="41" cm="1">
        <f t="array" ref="X98">isfontcolorred(Table248[[#This Row],[MD
(m)]])</f>
        <v>0</v>
      </c>
      <c r="Y98" s="37">
        <f>IF(Table248[[#This Row],[Plug Depth
Plan
(m)]]&lt;&gt;0,1,0)</f>
        <v>0</v>
      </c>
      <c r="Z98" s="41"/>
      <c r="AA98" s="42" t="str">
        <f>IF(Table248[[#This Row],[Plug Depth
Plan
(m)]]=0,"",ABS(Table248[[#This Row],[Plug Depth
Plan
(m)]]-Table248[[#This Row],[MD
(m)]]))</f>
        <v/>
      </c>
    </row>
    <row r="99" spans="1:28" ht="16" thickBot="1" x14ac:dyDescent="0.25">
      <c r="A99" s="2">
        <v>2736.05</v>
      </c>
      <c r="B99" s="1">
        <v>2694.06</v>
      </c>
      <c r="C99" s="2">
        <v>45.51</v>
      </c>
      <c r="D99" s="2">
        <v>358.92</v>
      </c>
      <c r="E99" s="2">
        <v>7.95</v>
      </c>
      <c r="F99" s="1">
        <v>95.76</v>
      </c>
      <c r="G99" s="1">
        <v>196.46</v>
      </c>
      <c r="H99" s="1">
        <v>7.88</v>
      </c>
      <c r="I99" s="1">
        <v>-1.57</v>
      </c>
      <c r="J99" s="7">
        <v>2645.01</v>
      </c>
      <c r="K99" s="3">
        <v>2622.36</v>
      </c>
      <c r="L99" s="3">
        <v>22.837</v>
      </c>
      <c r="M99" s="3">
        <v>359.084</v>
      </c>
      <c r="N99" s="8">
        <v>6.76</v>
      </c>
      <c r="O99" s="50">
        <v>36.47</v>
      </c>
      <c r="P99" s="50">
        <v>191.95</v>
      </c>
      <c r="Q99" s="50">
        <v>6.76</v>
      </c>
      <c r="R99" s="50">
        <v>0</v>
      </c>
      <c r="S99" s="41"/>
      <c r="T99" s="41"/>
      <c r="U99" s="41"/>
      <c r="V99" s="41"/>
      <c r="W99" s="37" cm="1">
        <f t="array" ref="W99">CheckYellowFill(Table248[[#This Row],[MD
(m)]])</f>
        <v>0</v>
      </c>
      <c r="X99" s="41" cm="1">
        <f t="array" ref="X99">isfontcolorred(Table248[[#This Row],[MD
(m)]])</f>
        <v>0</v>
      </c>
      <c r="Y99" s="37">
        <f>IF(Table248[[#This Row],[Plug Depth
Plan
(m)]]&lt;&gt;0,1,0)</f>
        <v>0</v>
      </c>
      <c r="Z99" s="41"/>
      <c r="AA99" s="42" t="str">
        <f>IF(Table248[[#This Row],[Plug Depth
Plan
(m)]]=0,"",ABS(Table248[[#This Row],[Plug Depth
Plan
(m)]]-Table248[[#This Row],[MD
(m)]]))</f>
        <v/>
      </c>
    </row>
    <row r="100" spans="1:28" ht="16" thickBot="1" x14ac:dyDescent="0.25">
      <c r="A100" s="2">
        <v>2764.93</v>
      </c>
      <c r="B100" s="1">
        <v>2713.06</v>
      </c>
      <c r="C100" s="2">
        <v>52.11</v>
      </c>
      <c r="D100" s="2">
        <v>358.29</v>
      </c>
      <c r="E100" s="2">
        <v>6.87</v>
      </c>
      <c r="F100" s="1">
        <v>117.47</v>
      </c>
      <c r="G100" s="1">
        <v>195.93</v>
      </c>
      <c r="H100" s="1">
        <v>6.86</v>
      </c>
      <c r="I100" s="1">
        <v>-0.65</v>
      </c>
      <c r="J100" s="7">
        <v>2675.01</v>
      </c>
      <c r="K100" s="3">
        <v>2649.25</v>
      </c>
      <c r="L100" s="3">
        <v>29.594999999999999</v>
      </c>
      <c r="M100" s="3">
        <v>359.084</v>
      </c>
      <c r="N100" s="8">
        <v>6.76</v>
      </c>
      <c r="O100" s="50">
        <v>49.71</v>
      </c>
      <c r="P100" s="50">
        <v>191.74</v>
      </c>
      <c r="Q100" s="50">
        <v>6.76</v>
      </c>
      <c r="R100" s="50">
        <v>0</v>
      </c>
      <c r="S100" s="41"/>
      <c r="T100" s="41"/>
      <c r="U100" s="39"/>
      <c r="V100" s="39"/>
      <c r="W100" s="37" cm="1">
        <f t="array" ref="W100">CheckYellowFill(Table248[[#This Row],[MD
(m)]])</f>
        <v>0</v>
      </c>
      <c r="X100" s="41" cm="1">
        <f t="array" ref="X100">isfontcolorred(Table248[[#This Row],[MD
(m)]])</f>
        <v>0</v>
      </c>
      <c r="Y100" s="37">
        <f>IF(Table248[[#This Row],[Plug Depth
Plan
(m)]]&lt;&gt;0,1,0)</f>
        <v>0</v>
      </c>
      <c r="Z100" s="41"/>
      <c r="AA100" s="42" t="str">
        <f>IF(Table248[[#This Row],[Plug Depth
Plan
(m)]]=0,"",ABS(Table248[[#This Row],[Plug Depth
Plan
(m)]]-Table248[[#This Row],[MD
(m)]]))</f>
        <v/>
      </c>
    </row>
    <row r="101" spans="1:28" ht="16" thickBot="1" x14ac:dyDescent="0.25">
      <c r="A101" s="2">
        <v>2793.86</v>
      </c>
      <c r="B101" s="1">
        <v>2729.69</v>
      </c>
      <c r="C101" s="2">
        <v>57.7</v>
      </c>
      <c r="D101" s="2">
        <v>356.49</v>
      </c>
      <c r="E101" s="2">
        <v>5.99</v>
      </c>
      <c r="F101" s="1">
        <v>141.11000000000001</v>
      </c>
      <c r="G101" s="1">
        <v>194.84</v>
      </c>
      <c r="H101" s="1">
        <v>5.8</v>
      </c>
      <c r="I101" s="1">
        <v>-1.87</v>
      </c>
      <c r="J101" s="7">
        <v>2705.01</v>
      </c>
      <c r="K101" s="3">
        <v>2674.41</v>
      </c>
      <c r="L101" s="3">
        <v>36.353000000000002</v>
      </c>
      <c r="M101" s="3">
        <v>359.084</v>
      </c>
      <c r="N101" s="8">
        <v>6.76</v>
      </c>
      <c r="O101" s="50">
        <v>66.03</v>
      </c>
      <c r="P101" s="50">
        <v>191.48</v>
      </c>
      <c r="Q101" s="50">
        <v>6.76</v>
      </c>
      <c r="R101" s="50">
        <v>0</v>
      </c>
      <c r="S101" s="39"/>
      <c r="T101" s="39"/>
      <c r="U101" s="39"/>
      <c r="V101" s="39"/>
      <c r="W101" s="37" cm="1">
        <f t="array" ref="W101">CheckYellowFill(Table248[[#This Row],[MD
(m)]])</f>
        <v>0</v>
      </c>
      <c r="X101" s="41" cm="1">
        <f t="array" ref="X101">isfontcolorred(Table248[[#This Row],[MD
(m)]])</f>
        <v>0</v>
      </c>
      <c r="Y101" s="37">
        <f>IF(Table248[[#This Row],[Plug Depth
Plan
(m)]]&lt;&gt;0,1,0)</f>
        <v>0</v>
      </c>
      <c r="Z101" s="41"/>
      <c r="AA101" s="42" t="str">
        <f>IF(Table248[[#This Row],[Plug Depth
Plan
(m)]]=0,"",ABS(Table248[[#This Row],[Plug Depth
Plan
(m)]]-Table248[[#This Row],[MD
(m)]]))</f>
        <v/>
      </c>
    </row>
    <row r="102" spans="1:28" ht="16" thickBot="1" x14ac:dyDescent="0.25">
      <c r="A102" s="2">
        <v>2822.8</v>
      </c>
      <c r="B102" s="1">
        <v>2743.73</v>
      </c>
      <c r="C102" s="2">
        <v>64.23</v>
      </c>
      <c r="D102" s="2">
        <v>356.09</v>
      </c>
      <c r="E102" s="2">
        <v>6.78</v>
      </c>
      <c r="F102" s="1">
        <v>166.34</v>
      </c>
      <c r="G102" s="1">
        <v>193.2</v>
      </c>
      <c r="H102" s="1">
        <v>6.77</v>
      </c>
      <c r="I102" s="1">
        <v>-0.41</v>
      </c>
      <c r="J102" s="7">
        <v>2735.01</v>
      </c>
      <c r="K102" s="3">
        <v>2697.46</v>
      </c>
      <c r="L102" s="3">
        <v>43.110999999999997</v>
      </c>
      <c r="M102" s="3">
        <v>359.084</v>
      </c>
      <c r="N102" s="8">
        <v>6.76</v>
      </c>
      <c r="O102" s="50">
        <v>85.19</v>
      </c>
      <c r="P102" s="50">
        <v>191.17</v>
      </c>
      <c r="Q102" s="50">
        <v>6.76</v>
      </c>
      <c r="R102" s="50">
        <v>0</v>
      </c>
      <c r="S102" s="39"/>
      <c r="T102" s="39"/>
      <c r="U102" s="39"/>
      <c r="V102" s="39"/>
      <c r="W102" s="37" cm="1">
        <f t="array" ref="W102">CheckYellowFill(Table248[[#This Row],[MD
(m)]])</f>
        <v>0</v>
      </c>
      <c r="X102" s="41" cm="1">
        <f t="array" ref="X102">isfontcolorred(Table248[[#This Row],[MD
(m)]])</f>
        <v>0</v>
      </c>
      <c r="Y102" s="37">
        <f>IF(Table248[[#This Row],[Plug Depth
Plan
(m)]]&lt;&gt;0,1,0)</f>
        <v>0</v>
      </c>
      <c r="Z102" s="41"/>
      <c r="AA102" s="42" t="str">
        <f>IF(Table248[[#This Row],[Plug Depth
Plan
(m)]]=0,"",ABS(Table248[[#This Row],[Plug Depth
Plan
(m)]]-Table248[[#This Row],[MD
(m)]]))</f>
        <v/>
      </c>
    </row>
    <row r="103" spans="1:28" ht="16" thickBot="1" x14ac:dyDescent="0.25">
      <c r="A103" s="2">
        <v>2851.69</v>
      </c>
      <c r="B103" s="1">
        <v>2755.11</v>
      </c>
      <c r="C103" s="2">
        <v>69.36</v>
      </c>
      <c r="D103" s="2">
        <v>357.05</v>
      </c>
      <c r="E103" s="2">
        <v>5.41</v>
      </c>
      <c r="F103" s="1">
        <v>192.84</v>
      </c>
      <c r="G103" s="1">
        <v>191.61</v>
      </c>
      <c r="H103" s="1">
        <v>5.33</v>
      </c>
      <c r="I103" s="1">
        <v>1</v>
      </c>
      <c r="J103" s="7">
        <v>2765.01</v>
      </c>
      <c r="K103" s="3">
        <v>2718.11</v>
      </c>
      <c r="L103" s="3">
        <v>49.87</v>
      </c>
      <c r="M103" s="3">
        <v>359.084</v>
      </c>
      <c r="N103" s="8">
        <v>6.76</v>
      </c>
      <c r="O103" s="50">
        <v>106.93</v>
      </c>
      <c r="P103" s="50">
        <v>190.82</v>
      </c>
      <c r="Q103" s="50">
        <v>6.76</v>
      </c>
      <c r="R103" s="50">
        <v>0</v>
      </c>
      <c r="S103" s="39"/>
      <c r="T103" s="39"/>
      <c r="U103" s="39"/>
      <c r="V103" s="39"/>
      <c r="W103" s="37" cm="1">
        <f t="array" ref="W103">CheckYellowFill(Table248[[#This Row],[MD
(m)]])</f>
        <v>0</v>
      </c>
      <c r="X103" s="41" cm="1">
        <f t="array" ref="X103">isfontcolorred(Table248[[#This Row],[MD
(m)]])</f>
        <v>0</v>
      </c>
      <c r="Y103" s="37">
        <f>IF(Table248[[#This Row],[Plug Depth
Plan
(m)]]&lt;&gt;0,1,0)</f>
        <v>0</v>
      </c>
      <c r="Z103" s="41"/>
      <c r="AA103" s="42" t="str">
        <f>IF(Table248[[#This Row],[Plug Depth
Plan
(m)]]=0,"",ABS(Table248[[#This Row],[Plug Depth
Plan
(m)]]-Table248[[#This Row],[MD
(m)]]))</f>
        <v/>
      </c>
    </row>
    <row r="104" spans="1:28" ht="16" thickBot="1" x14ac:dyDescent="0.25">
      <c r="A104" s="2">
        <v>2880.74</v>
      </c>
      <c r="B104" s="1">
        <v>2764.02</v>
      </c>
      <c r="C104" s="2">
        <v>74.900000000000006</v>
      </c>
      <c r="D104" s="2">
        <v>357.43</v>
      </c>
      <c r="E104" s="2">
        <v>5.73</v>
      </c>
      <c r="F104" s="1">
        <v>220.44</v>
      </c>
      <c r="G104" s="1">
        <v>190.28</v>
      </c>
      <c r="H104" s="1">
        <v>5.72</v>
      </c>
      <c r="I104" s="1">
        <v>0.39</v>
      </c>
      <c r="J104" s="7">
        <v>2795.01</v>
      </c>
      <c r="K104" s="3">
        <v>2736.05</v>
      </c>
      <c r="L104" s="3">
        <v>56.628</v>
      </c>
      <c r="M104" s="3">
        <v>359.084</v>
      </c>
      <c r="N104" s="8">
        <v>6.76</v>
      </c>
      <c r="O104" s="50">
        <v>130.94999999999999</v>
      </c>
      <c r="P104" s="50">
        <v>190.44</v>
      </c>
      <c r="Q104" s="50">
        <v>6.76</v>
      </c>
      <c r="R104" s="50">
        <v>0</v>
      </c>
      <c r="S104" s="39"/>
      <c r="T104" s="39"/>
      <c r="U104" s="39"/>
      <c r="V104" s="39"/>
      <c r="W104" s="37" cm="1">
        <f t="array" ref="W104">CheckYellowFill(Table248[[#This Row],[MD
(m)]])</f>
        <v>0</v>
      </c>
      <c r="X104" s="41" cm="1">
        <f t="array" ref="X104">isfontcolorred(Table248[[#This Row],[MD
(m)]])</f>
        <v>0</v>
      </c>
      <c r="Y104" s="37">
        <f>IF(Table248[[#This Row],[Plug Depth
Plan
(m)]]&lt;&gt;0,1,0)</f>
        <v>0</v>
      </c>
      <c r="Z104" s="41"/>
      <c r="AA104" s="42" t="str">
        <f>IF(Table248[[#This Row],[Plug Depth
Plan
(m)]]=0,"",ABS(Table248[[#This Row],[Plug Depth
Plan
(m)]]-Table248[[#This Row],[MD
(m)]]))</f>
        <v/>
      </c>
    </row>
    <row r="105" spans="1:28" ht="16" thickBot="1" x14ac:dyDescent="0.25">
      <c r="A105" s="2">
        <v>2885.2</v>
      </c>
      <c r="B105" s="1">
        <v>2764.9597529169528</v>
      </c>
      <c r="C105" s="2"/>
      <c r="D105" s="2"/>
      <c r="E105" s="2"/>
      <c r="F105" s="1"/>
      <c r="G105" s="1"/>
      <c r="H105" s="1"/>
      <c r="I105" s="1"/>
      <c r="J105" s="7"/>
      <c r="K105" s="3"/>
      <c r="L105" s="3"/>
      <c r="M105" s="3"/>
      <c r="N105" s="8"/>
      <c r="O105" s="50"/>
      <c r="P105" s="50"/>
      <c r="Q105" s="50"/>
      <c r="R105" s="50"/>
      <c r="S105" s="39"/>
      <c r="T105" s="39"/>
      <c r="U105" s="39"/>
      <c r="V105" s="39"/>
      <c r="W105" s="37" cm="1">
        <f t="array" ref="W105">CheckYellowFill(Table248[[#This Row],[MD
(m)]])</f>
        <v>0</v>
      </c>
      <c r="X105" s="39" cm="1">
        <f t="array" ref="X105">isfontcolorred(Table248[[#This Row],[MD
(m)]])</f>
        <v>0</v>
      </c>
      <c r="Y105" s="37">
        <f>IF(Table248[[#This Row],[Plug Depth
Plan
(m)]]&lt;&gt;0,1,0)</f>
        <v>0</v>
      </c>
      <c r="Z105" s="39"/>
      <c r="AA105" s="40" t="str">
        <f>IF(Table248[[#This Row],[Plug Depth
Plan
(m)]]=0,"",ABS(Table248[[#This Row],[Plug Depth
Plan
(m)]]-Table248[[#This Row],[MD
(m)]]))</f>
        <v/>
      </c>
    </row>
    <row r="106" spans="1:28" ht="16" thickBot="1" x14ac:dyDescent="0.25">
      <c r="A106" s="2">
        <v>2897.7</v>
      </c>
      <c r="B106" s="1">
        <v>2767.5935895676048</v>
      </c>
      <c r="C106" s="2"/>
      <c r="D106" s="2"/>
      <c r="E106" s="2"/>
      <c r="F106" s="2"/>
      <c r="G106" s="2"/>
      <c r="H106" s="2"/>
      <c r="I106" s="2"/>
      <c r="J106" s="7"/>
      <c r="K106" s="3"/>
      <c r="L106" s="3"/>
      <c r="M106" s="3"/>
      <c r="N106" s="8"/>
      <c r="O106" s="50"/>
      <c r="P106" s="50"/>
      <c r="Q106" s="50"/>
      <c r="R106" s="50"/>
      <c r="S106" s="39"/>
      <c r="T106" s="39"/>
      <c r="U106" s="39"/>
      <c r="V106" s="39"/>
      <c r="W106" s="37" cm="1">
        <f t="array" ref="W106">CheckYellowFill(Table248[[#This Row],[MD
(m)]])</f>
        <v>0</v>
      </c>
      <c r="X106" s="39" cm="1">
        <f t="array" ref="X106">isfontcolorred(Table248[[#This Row],[MD
(m)]])</f>
        <v>0</v>
      </c>
      <c r="Y106" s="37">
        <f>IF(Table248[[#This Row],[Plug Depth
Plan
(m)]]&lt;&gt;0,1,0)</f>
        <v>0</v>
      </c>
      <c r="Z106" s="39"/>
      <c r="AA106" s="40" t="str">
        <f>IF(Table248[[#This Row],[Plug Depth
Plan
(m)]]=0,"",ABS(Table248[[#This Row],[Plug Depth
Plan
(m)]]-Table248[[#This Row],[MD
(m)]]))</f>
        <v/>
      </c>
    </row>
    <row r="107" spans="1:28" ht="16" thickBot="1" x14ac:dyDescent="0.25">
      <c r="A107" s="2">
        <v>2909.88</v>
      </c>
      <c r="B107" s="1">
        <v>2770.16</v>
      </c>
      <c r="C107" s="2">
        <v>80.75</v>
      </c>
      <c r="D107" s="2">
        <v>357.92</v>
      </c>
      <c r="E107" s="2">
        <v>6.04</v>
      </c>
      <c r="F107" s="1">
        <v>248.89</v>
      </c>
      <c r="G107" s="1">
        <v>189.13</v>
      </c>
      <c r="H107" s="1">
        <v>6.02</v>
      </c>
      <c r="I107" s="1">
        <v>0.5</v>
      </c>
      <c r="J107" s="7">
        <v>2825.01</v>
      </c>
      <c r="K107" s="3">
        <v>2751.03</v>
      </c>
      <c r="L107" s="3">
        <v>63.386000000000003</v>
      </c>
      <c r="M107" s="3">
        <v>359.084</v>
      </c>
      <c r="N107" s="8">
        <v>6.76</v>
      </c>
      <c r="O107" s="50">
        <v>156.91999999999999</v>
      </c>
      <c r="P107" s="50">
        <v>190.03</v>
      </c>
      <c r="Q107" s="50">
        <v>6.76</v>
      </c>
      <c r="R107" s="50">
        <v>0</v>
      </c>
      <c r="S107" s="39"/>
      <c r="T107" s="39"/>
      <c r="U107" s="39"/>
      <c r="V107" s="39"/>
      <c r="W107" s="37" cm="1">
        <f t="array" ref="W107">CheckYellowFill(Table248[[#This Row],[MD
(m)]])</f>
        <v>0</v>
      </c>
      <c r="X107" s="41" cm="1">
        <f t="array" ref="X107">isfontcolorred(Table248[[#This Row],[MD
(m)]])</f>
        <v>0</v>
      </c>
      <c r="Y107" s="37">
        <f>IF(Table248[[#This Row],[Plug Depth
Plan
(m)]]&lt;&gt;0,1,0)</f>
        <v>0</v>
      </c>
      <c r="Z107" s="41"/>
      <c r="AA107" s="42" t="str">
        <f>IF(Table248[[#This Row],[Plug Depth
Plan
(m)]]=0,"",ABS(Table248[[#This Row],[Plug Depth
Plan
(m)]]-Table248[[#This Row],[MD
(m)]]))</f>
        <v/>
      </c>
    </row>
    <row r="108" spans="1:28" ht="16" thickBot="1" x14ac:dyDescent="0.25">
      <c r="A108" s="60">
        <v>2910.2</v>
      </c>
      <c r="B108" s="19">
        <v>2770.1903192584964</v>
      </c>
      <c r="C108" s="2"/>
      <c r="D108" s="2"/>
      <c r="E108" s="2"/>
      <c r="F108" s="2"/>
      <c r="G108" s="2"/>
      <c r="H108" s="2"/>
      <c r="I108" s="2"/>
      <c r="J108" s="7"/>
      <c r="K108" s="3"/>
      <c r="L108" s="3"/>
      <c r="M108" s="3"/>
      <c r="N108" s="8"/>
      <c r="O108" s="50"/>
      <c r="P108" s="50"/>
      <c r="Q108" s="50"/>
      <c r="R108" s="50"/>
      <c r="S108" s="39"/>
      <c r="T108" s="39"/>
      <c r="U108" s="39"/>
      <c r="V108" s="39"/>
      <c r="W108" s="37" cm="1">
        <f t="array" ref="W108">CheckYellowFill(Table248[[#This Row],[MD
(m)]])</f>
        <v>0</v>
      </c>
      <c r="X108" s="39" cm="1">
        <f t="array" ref="X108">isfontcolorred(Table248[[#This Row],[MD
(m)]])</f>
        <v>1</v>
      </c>
      <c r="Y108" s="37">
        <f>IF(Table248[[#This Row],[Plug Depth
Plan
(m)]]&lt;&gt;0,1,0)</f>
        <v>0</v>
      </c>
      <c r="Z108" s="39"/>
      <c r="AA108" s="40" t="str">
        <f>IF(Table248[[#This Row],[Plug Depth
Plan
(m)]]=0,"",ABS(Table248[[#This Row],[Plug Depth
Plan
(m)]]-Table248[[#This Row],[MD
(m)]]))</f>
        <v/>
      </c>
    </row>
    <row r="109" spans="1:28" ht="16" thickBot="1" x14ac:dyDescent="0.25">
      <c r="A109" s="60">
        <v>2922.7</v>
      </c>
      <c r="B109" s="18">
        <v>2771.374665293512</v>
      </c>
      <c r="C109" s="2"/>
      <c r="D109" s="2"/>
      <c r="E109" s="2"/>
      <c r="F109" s="2"/>
      <c r="G109" s="2"/>
      <c r="H109" s="2"/>
      <c r="I109" s="2"/>
      <c r="J109" s="7"/>
      <c r="K109" s="3"/>
      <c r="L109" s="3"/>
      <c r="M109" s="3"/>
      <c r="N109" s="8"/>
      <c r="O109" s="50"/>
      <c r="P109" s="50"/>
      <c r="Q109" s="50"/>
      <c r="R109" s="50"/>
      <c r="S109" s="39"/>
      <c r="T109" s="39"/>
      <c r="U109" s="39"/>
      <c r="V109" s="39"/>
      <c r="W109" s="37" cm="1">
        <f t="array" ref="W109">CheckYellowFill(Table248[[#This Row],[MD
(m)]])</f>
        <v>0</v>
      </c>
      <c r="X109" s="41" cm="1">
        <f t="array" ref="X109">isfontcolorred(Table248[[#This Row],[MD
(m)]])</f>
        <v>1</v>
      </c>
      <c r="Y109" s="37">
        <f>IF(Table248[[#This Row],[Plug Depth
Plan
(m)]]&lt;&gt;0,1,0)</f>
        <v>0</v>
      </c>
      <c r="Z109" s="39"/>
      <c r="AA109" s="40" t="str">
        <f>IF(Table248[[#This Row],[Plug Depth
Plan
(m)]]=0,"",ABS(Table248[[#This Row],[Plug Depth
Plan
(m)]]-Table248[[#This Row],[MD
(m)]]))</f>
        <v/>
      </c>
    </row>
    <row r="110" spans="1:28" ht="16" thickBot="1" x14ac:dyDescent="0.25">
      <c r="A110" s="63">
        <v>2927.2</v>
      </c>
      <c r="B110" s="67">
        <v>2771.8010298661175</v>
      </c>
      <c r="C110" s="2"/>
      <c r="D110" s="2"/>
      <c r="E110" s="2"/>
      <c r="F110" s="2"/>
      <c r="G110" s="2"/>
      <c r="H110" s="2"/>
      <c r="I110" s="2"/>
      <c r="J110" s="7"/>
      <c r="K110" s="3"/>
      <c r="L110" s="3"/>
      <c r="M110" s="3"/>
      <c r="N110" s="8"/>
      <c r="O110" s="50"/>
      <c r="P110" s="50"/>
      <c r="Q110" s="50"/>
      <c r="R110" s="50"/>
      <c r="S110" s="39"/>
      <c r="T110" s="39"/>
      <c r="U110" s="39"/>
      <c r="V110" s="39"/>
      <c r="W110" s="37" cm="1">
        <f t="array" ref="W110">CheckYellowFill(Table248[[#This Row],[MD
(m)]])</f>
        <v>1</v>
      </c>
      <c r="X110" s="41" cm="1">
        <f t="array" ref="X110">isfontcolorred(Table248[[#This Row],[MD
(m)]])</f>
        <v>0</v>
      </c>
      <c r="Y110" s="37">
        <f>IF(Table248[[#This Row],[Plug Depth
Plan
(m)]]&lt;&gt;0,1,0)</f>
        <v>0</v>
      </c>
      <c r="Z110" s="39"/>
      <c r="AA110" s="40" t="str">
        <f>IF(Table248[[#This Row],[Plug Depth
Plan
(m)]]=0,"",ABS(Table248[[#This Row],[Plug Depth
Plan
(m)]]-Table248[[#This Row],[MD
(m)]]))</f>
        <v/>
      </c>
    </row>
    <row r="111" spans="1:28" ht="16" thickBot="1" x14ac:dyDescent="0.25">
      <c r="A111" s="60">
        <v>2935.2</v>
      </c>
      <c r="B111" s="18">
        <v>2772.5590113285275</v>
      </c>
      <c r="C111" s="2"/>
      <c r="D111" s="2"/>
      <c r="E111" s="2"/>
      <c r="F111" s="2"/>
      <c r="G111" s="2"/>
      <c r="H111" s="2"/>
      <c r="I111" s="2"/>
      <c r="J111" s="7"/>
      <c r="K111" s="3"/>
      <c r="L111" s="3"/>
      <c r="M111" s="3"/>
      <c r="N111" s="8"/>
      <c r="O111" s="50"/>
      <c r="P111" s="50"/>
      <c r="Q111" s="50"/>
      <c r="R111" s="50"/>
      <c r="S111" s="39"/>
      <c r="T111" s="39"/>
      <c r="U111" s="39"/>
      <c r="V111" s="39"/>
      <c r="W111" s="37" cm="1">
        <f t="array" ref="W111">CheckYellowFill(Table248[[#This Row],[MD
(m)]])</f>
        <v>0</v>
      </c>
      <c r="X111" s="41" cm="1">
        <f t="array" ref="X111">isfontcolorred(Table248[[#This Row],[MD
(m)]])</f>
        <v>1</v>
      </c>
      <c r="Y111" s="37">
        <f>IF(Table248[[#This Row],[Plug Depth
Plan
(m)]]&lt;&gt;0,1,0)</f>
        <v>0</v>
      </c>
      <c r="Z111" s="39"/>
      <c r="AA111" s="40" t="str">
        <f>IF(Table248[[#This Row],[Plug Depth
Plan
(m)]]=0,"",ABS(Table248[[#This Row],[Plug Depth
Plan
(m)]]-Table248[[#This Row],[MD
(m)]]))</f>
        <v/>
      </c>
      <c r="AB111" s="28">
        <v>9771</v>
      </c>
    </row>
    <row r="112" spans="1:28" ht="16" thickBot="1" x14ac:dyDescent="0.25">
      <c r="A112" s="2">
        <v>2939.01</v>
      </c>
      <c r="B112" s="1">
        <v>2772.92</v>
      </c>
      <c r="C112" s="2">
        <v>88.37</v>
      </c>
      <c r="D112" s="2">
        <v>357.54</v>
      </c>
      <c r="E112" s="2">
        <v>7.86</v>
      </c>
      <c r="F112" s="1">
        <v>277.85000000000002</v>
      </c>
      <c r="G112" s="1">
        <v>187.98</v>
      </c>
      <c r="H112" s="1">
        <v>7.85</v>
      </c>
      <c r="I112" s="1">
        <v>-0.39</v>
      </c>
      <c r="J112" s="7">
        <v>2855.01</v>
      </c>
      <c r="K112" s="3">
        <v>2762.86</v>
      </c>
      <c r="L112" s="3">
        <v>70.144999999999996</v>
      </c>
      <c r="M112" s="3">
        <v>359.084</v>
      </c>
      <c r="N112" s="8">
        <v>6.76</v>
      </c>
      <c r="O112" s="50">
        <v>184.46</v>
      </c>
      <c r="P112" s="50">
        <v>189.58</v>
      </c>
      <c r="Q112" s="50">
        <v>6.76</v>
      </c>
      <c r="R112" s="50">
        <v>0</v>
      </c>
      <c r="S112" s="39"/>
      <c r="T112" s="39"/>
      <c r="U112" s="39"/>
      <c r="V112" s="39"/>
      <c r="W112" s="37" cm="1">
        <f t="array" ref="W112">CheckYellowFill(Table248[[#This Row],[MD
(m)]])</f>
        <v>0</v>
      </c>
      <c r="X112" s="41" cm="1">
        <f t="array" ref="X112">isfontcolorred(Table248[[#This Row],[MD
(m)]])</f>
        <v>0</v>
      </c>
      <c r="Y112" s="37">
        <f>IF(Table248[[#This Row],[Plug Depth
Plan
(m)]]&lt;&gt;0,1,0)</f>
        <v>0</v>
      </c>
      <c r="Z112" s="41"/>
      <c r="AA112" s="42" t="str">
        <f>IF(Table248[[#This Row],[Plug Depth
Plan
(m)]]=0,"",ABS(Table248[[#This Row],[Plug Depth
Plan
(m)]]-Table248[[#This Row],[MD
(m)]]))</f>
        <v/>
      </c>
    </row>
    <row r="113" spans="1:28" ht="16" thickBot="1" x14ac:dyDescent="0.25">
      <c r="A113" s="60">
        <v>2947.7</v>
      </c>
      <c r="B113" s="18">
        <v>2773.0690566037738</v>
      </c>
      <c r="C113" s="2"/>
      <c r="D113" s="2"/>
      <c r="E113" s="2"/>
      <c r="F113" s="2"/>
      <c r="G113" s="2"/>
      <c r="H113" s="2"/>
      <c r="I113" s="2"/>
      <c r="J113" s="7"/>
      <c r="K113" s="3"/>
      <c r="L113" s="3"/>
      <c r="M113" s="3"/>
      <c r="N113" s="8"/>
      <c r="O113" s="50"/>
      <c r="P113" s="50"/>
      <c r="Q113" s="50"/>
      <c r="R113" s="50"/>
      <c r="S113" s="39"/>
      <c r="T113" s="39"/>
      <c r="U113" s="39"/>
      <c r="V113" s="39"/>
      <c r="W113" s="37" cm="1">
        <f t="array" ref="W113">CheckYellowFill(Table248[[#This Row],[MD
(m)]])</f>
        <v>0</v>
      </c>
      <c r="X113" s="41" cm="1">
        <f t="array" ref="X113">isfontcolorred(Table248[[#This Row],[MD
(m)]])</f>
        <v>1</v>
      </c>
      <c r="Y113" s="37">
        <f>IF(Table248[[#This Row],[Plug Depth
Plan
(m)]]&lt;&gt;0,1,0)</f>
        <v>0</v>
      </c>
      <c r="Z113" s="41"/>
      <c r="AA113" s="42" t="str">
        <f>IF(Table248[[#This Row],[Plug Depth
Plan
(m)]]=0,"",ABS(Table248[[#This Row],[Plug Depth
Plan
(m)]]-Table248[[#This Row],[MD
(m)]]))</f>
        <v/>
      </c>
      <c r="AB113" s="28">
        <v>9771</v>
      </c>
    </row>
    <row r="114" spans="1:28" ht="16" thickBot="1" x14ac:dyDescent="0.25">
      <c r="A114" s="60">
        <v>2960.2</v>
      </c>
      <c r="B114" s="18">
        <v>2773.2834648370499</v>
      </c>
      <c r="C114" s="2"/>
      <c r="D114" s="2"/>
      <c r="E114" s="2"/>
      <c r="F114" s="2"/>
      <c r="G114" s="2"/>
      <c r="H114" s="2"/>
      <c r="I114" s="2"/>
      <c r="J114" s="7"/>
      <c r="K114" s="3"/>
      <c r="L114" s="3"/>
      <c r="M114" s="3"/>
      <c r="N114" s="8"/>
      <c r="O114" s="50"/>
      <c r="P114" s="50"/>
      <c r="Q114" s="50"/>
      <c r="R114" s="50"/>
      <c r="S114" s="39"/>
      <c r="T114" s="39"/>
      <c r="U114" s="39"/>
      <c r="V114" s="39"/>
      <c r="W114" s="37" cm="1">
        <f t="array" ref="W114">CheckYellowFill(Table248[[#This Row],[MD
(m)]])</f>
        <v>0</v>
      </c>
      <c r="X114" s="41" cm="1">
        <f t="array" ref="X114">isfontcolorred(Table248[[#This Row],[MD
(m)]])</f>
        <v>1</v>
      </c>
      <c r="Y114" s="37">
        <f>IF(Table248[[#This Row],[Plug Depth
Plan
(m)]]&lt;&gt;0,1,0)</f>
        <v>0</v>
      </c>
      <c r="Z114" s="41"/>
      <c r="AA114" s="42" t="str">
        <f>IF(Table248[[#This Row],[Plug Depth
Plan
(m)]]=0,"",ABS(Table248[[#This Row],[Plug Depth
Plan
(m)]]-Table248[[#This Row],[MD
(m)]]))</f>
        <v/>
      </c>
      <c r="AB114" s="28">
        <v>9771</v>
      </c>
    </row>
    <row r="115" spans="1:28" ht="16" thickBot="1" x14ac:dyDescent="0.25">
      <c r="A115" s="2">
        <v>2968.16</v>
      </c>
      <c r="B115" s="1">
        <v>2773.42</v>
      </c>
      <c r="C115" s="2">
        <v>89.69</v>
      </c>
      <c r="D115" s="2">
        <v>0.39</v>
      </c>
      <c r="E115" s="2">
        <v>3.23</v>
      </c>
      <c r="F115" s="1">
        <v>306.99</v>
      </c>
      <c r="G115" s="1">
        <v>187.46</v>
      </c>
      <c r="H115" s="1">
        <v>1.36</v>
      </c>
      <c r="I115" s="1">
        <v>2.93</v>
      </c>
      <c r="J115" s="7">
        <v>2885.01</v>
      </c>
      <c r="K115" s="3">
        <v>2771.37</v>
      </c>
      <c r="L115" s="3">
        <v>76.903000000000006</v>
      </c>
      <c r="M115" s="3">
        <v>359.084</v>
      </c>
      <c r="N115" s="8">
        <v>6.76</v>
      </c>
      <c r="O115" s="50">
        <v>213.21</v>
      </c>
      <c r="P115" s="50">
        <v>189.12</v>
      </c>
      <c r="Q115" s="50">
        <v>6.76</v>
      </c>
      <c r="R115" s="50">
        <v>0</v>
      </c>
      <c r="S115" s="39">
        <v>2780.24</v>
      </c>
      <c r="T115" s="39">
        <f>ABS(Table248[[#This Row],[mTVD
Lower
Marker]]-Table248[[#This Row],[TVD
(m)]])</f>
        <v>6.819999999999709</v>
      </c>
      <c r="U115" s="39">
        <v>2770.24</v>
      </c>
      <c r="V115" s="39">
        <f>ABS(Table248[[#This Row],[mTVD
Upper
Marker]]-Table248[[#This Row],[TVD
(m)]])</f>
        <v>3.180000000000291</v>
      </c>
      <c r="W115" s="37" cm="1">
        <f t="array" ref="W115">CheckYellowFill(Table248[[#This Row],[MD
(m)]])</f>
        <v>0</v>
      </c>
      <c r="X115" s="41" cm="1">
        <f t="array" ref="X115">isfontcolorred(Table248[[#This Row],[MD
(m)]])</f>
        <v>0</v>
      </c>
      <c r="Y115" s="37">
        <f>IF(Table248[[#This Row],[Plug Depth
Plan
(m)]]&lt;&gt;0,1,0)</f>
        <v>0</v>
      </c>
      <c r="Z115" s="41"/>
      <c r="AA115" s="42" t="str">
        <f>IF(Table248[[#This Row],[Plug Depth
Plan
(m)]]=0,"",ABS(Table248[[#This Row],[Plug Depth
Plan
(m)]]-Table248[[#This Row],[MD
(m)]]))</f>
        <v/>
      </c>
    </row>
    <row r="116" spans="1:28" ht="16" thickBot="1" x14ac:dyDescent="0.25">
      <c r="A116" s="61">
        <v>2972.7</v>
      </c>
      <c r="B116" s="18">
        <v>2773.4527403846155</v>
      </c>
      <c r="C116" s="2"/>
      <c r="D116" s="2"/>
      <c r="E116" s="2"/>
      <c r="F116" s="2"/>
      <c r="G116" s="2"/>
      <c r="H116" s="2"/>
      <c r="I116" s="2"/>
      <c r="J116" s="7"/>
      <c r="K116" s="3"/>
      <c r="L116" s="3"/>
      <c r="M116" s="3"/>
      <c r="N116" s="8"/>
      <c r="O116" s="50"/>
      <c r="P116" s="50"/>
      <c r="Q116" s="50"/>
      <c r="R116" s="50"/>
      <c r="S116" s="39"/>
      <c r="T116" s="39"/>
      <c r="U116" s="39"/>
      <c r="V116" s="39"/>
      <c r="W116" s="37" cm="1">
        <f t="array" ref="W116">CheckYellowFill(Table248[[#This Row],[MD
(m)]])</f>
        <v>0</v>
      </c>
      <c r="X116" s="41" cm="1">
        <f t="array" ref="X116">isfontcolorred(Table248[[#This Row],[MD
(m)]])</f>
        <v>1</v>
      </c>
      <c r="Y116" s="37">
        <f>IF(Table248[[#This Row],[Plug Depth
Plan
(m)]]&lt;&gt;0,1,0)</f>
        <v>0</v>
      </c>
      <c r="Z116" s="41"/>
      <c r="AA116" s="42" t="str">
        <f>IF(Table248[[#This Row],[Plug Depth
Plan
(m)]]=0,"",ABS(Table248[[#This Row],[Plug Depth
Plan
(m)]]-Table248[[#This Row],[MD
(m)]]))</f>
        <v/>
      </c>
      <c r="AB116" s="28">
        <v>9771</v>
      </c>
    </row>
    <row r="117" spans="1:28" ht="16" thickBot="1" x14ac:dyDescent="0.25">
      <c r="A117" s="60">
        <v>2985.2</v>
      </c>
      <c r="B117" s="18">
        <v>2773.542884615385</v>
      </c>
      <c r="C117" s="2"/>
      <c r="D117" s="2"/>
      <c r="E117" s="2"/>
      <c r="F117" s="2"/>
      <c r="G117" s="2"/>
      <c r="H117" s="2"/>
      <c r="I117" s="2"/>
      <c r="J117" s="7"/>
      <c r="K117" s="3"/>
      <c r="L117" s="3"/>
      <c r="M117" s="3"/>
      <c r="N117" s="8"/>
      <c r="O117" s="50"/>
      <c r="P117" s="50"/>
      <c r="Q117" s="50"/>
      <c r="R117" s="50"/>
      <c r="S117" s="39"/>
      <c r="T117" s="39"/>
      <c r="U117" s="39"/>
      <c r="V117" s="39"/>
      <c r="W117" s="37" cm="1">
        <f t="array" ref="W117">CheckYellowFill(Table248[[#This Row],[MD
(m)]])</f>
        <v>0</v>
      </c>
      <c r="X117" s="41" cm="1">
        <f t="array" ref="X117">isfontcolorred(Table248[[#This Row],[MD
(m)]])</f>
        <v>1</v>
      </c>
      <c r="Y117" s="37">
        <f>IF(Table248[[#This Row],[Plug Depth
Plan
(m)]]&lt;&gt;0,1,0)</f>
        <v>0</v>
      </c>
      <c r="Z117" s="41"/>
      <c r="AA117" s="42" t="str">
        <f>IF(Table248[[#This Row],[Plug Depth
Plan
(m)]]=0,"",ABS(Table248[[#This Row],[Plug Depth
Plan
(m)]]-Table248[[#This Row],[MD
(m)]]))</f>
        <v/>
      </c>
      <c r="AB117" s="28">
        <v>8689</v>
      </c>
    </row>
    <row r="118" spans="1:28" ht="16" thickBot="1" x14ac:dyDescent="0.25">
      <c r="A118" s="2">
        <v>2997.28</v>
      </c>
      <c r="B118" s="1">
        <v>2773.63</v>
      </c>
      <c r="C118" s="2">
        <v>89.45</v>
      </c>
      <c r="D118" s="2">
        <v>0.24</v>
      </c>
      <c r="E118" s="2">
        <v>0.28999999999999998</v>
      </c>
      <c r="F118" s="1">
        <v>336.1</v>
      </c>
      <c r="G118" s="1">
        <v>187.62</v>
      </c>
      <c r="H118" s="1">
        <v>-0.25</v>
      </c>
      <c r="I118" s="1">
        <v>-0.15</v>
      </c>
      <c r="J118" s="7">
        <v>2915.01</v>
      </c>
      <c r="K118" s="3">
        <v>2776.43</v>
      </c>
      <c r="L118" s="3">
        <v>83.661000000000001</v>
      </c>
      <c r="M118" s="3">
        <v>359.084</v>
      </c>
      <c r="N118" s="8">
        <v>6.76</v>
      </c>
      <c r="O118" s="50">
        <v>242.76</v>
      </c>
      <c r="P118" s="50">
        <v>188.65</v>
      </c>
      <c r="Q118" s="50">
        <v>6.76</v>
      </c>
      <c r="R118" s="50">
        <v>0</v>
      </c>
      <c r="S118" s="39">
        <v>2780.29</v>
      </c>
      <c r="T118" s="39">
        <f>ABS(Table248[[#This Row],[mTVD
Lower
Marker]]-Table248[[#This Row],[TVD
(m)]])</f>
        <v>6.6599999999998545</v>
      </c>
      <c r="U118" s="39">
        <v>2770.29</v>
      </c>
      <c r="V118" s="39">
        <f>ABS(Table248[[#This Row],[mTVD
Upper
Marker]]-Table248[[#This Row],[TVD
(m)]])</f>
        <v>3.3400000000001455</v>
      </c>
      <c r="W118" s="37" cm="1">
        <f t="array" ref="W118">CheckYellowFill(Table248[[#This Row],[MD
(m)]])</f>
        <v>0</v>
      </c>
      <c r="X118" s="41" cm="1">
        <f t="array" ref="X118">isfontcolorred(Table248[[#This Row],[MD
(m)]])</f>
        <v>0</v>
      </c>
      <c r="Y118" s="37">
        <f>IF(Table248[[#This Row],[Plug Depth
Plan
(m)]]&lt;&gt;0,1,0)</f>
        <v>0</v>
      </c>
      <c r="Z118" s="41"/>
      <c r="AA118" s="42" t="str">
        <f>IF(Table248[[#This Row],[Plug Depth
Plan
(m)]]=0,"",ABS(Table248[[#This Row],[Plug Depth
Plan
(m)]]-Table248[[#This Row],[MD
(m)]]))</f>
        <v/>
      </c>
    </row>
    <row r="119" spans="1:28" ht="16" thickBot="1" x14ac:dyDescent="0.25">
      <c r="A119" s="60">
        <v>2997.7</v>
      </c>
      <c r="B119" s="18">
        <v>2773.631582191781</v>
      </c>
      <c r="C119" s="2"/>
      <c r="D119" s="2"/>
      <c r="E119" s="2"/>
      <c r="F119" s="2"/>
      <c r="G119" s="2"/>
      <c r="H119" s="2"/>
      <c r="I119" s="2"/>
      <c r="J119" s="7"/>
      <c r="K119" s="3"/>
      <c r="L119" s="3"/>
      <c r="M119" s="3"/>
      <c r="N119" s="8"/>
      <c r="O119" s="50"/>
      <c r="P119" s="50"/>
      <c r="Q119" s="50"/>
      <c r="R119" s="50"/>
      <c r="S119" s="39"/>
      <c r="T119" s="39"/>
      <c r="U119" s="39"/>
      <c r="V119" s="39"/>
      <c r="W119" s="37" cm="1">
        <f t="array" ref="W119">CheckYellowFill(Table248[[#This Row],[MD
(m)]])</f>
        <v>0</v>
      </c>
      <c r="X119" s="41" cm="1">
        <f t="array" ref="X119">isfontcolorred(Table248[[#This Row],[MD
(m)]])</f>
        <v>1</v>
      </c>
      <c r="Y119" s="37">
        <f>IF(Table248[[#This Row],[Plug Depth
Plan
(m)]]&lt;&gt;0,1,0)</f>
        <v>0</v>
      </c>
      <c r="Z119" s="41"/>
      <c r="AA119" s="42" t="str">
        <f>IF(Table248[[#This Row],[Plug Depth
Plan
(m)]]=0,"",ABS(Table248[[#This Row],[Plug Depth
Plan
(m)]]-Table248[[#This Row],[MD
(m)]]))</f>
        <v/>
      </c>
      <c r="AB119" s="28">
        <v>8689</v>
      </c>
    </row>
    <row r="120" spans="1:28" ht="16" thickBot="1" x14ac:dyDescent="0.25">
      <c r="A120" s="60">
        <v>3010.2</v>
      </c>
      <c r="B120" s="18">
        <v>2773.6786712328767</v>
      </c>
      <c r="C120" s="2"/>
      <c r="D120" s="2"/>
      <c r="E120" s="2"/>
      <c r="F120" s="2"/>
      <c r="G120" s="2"/>
      <c r="H120" s="2"/>
      <c r="I120" s="2"/>
      <c r="J120" s="7"/>
      <c r="K120" s="3"/>
      <c r="L120" s="3"/>
      <c r="M120" s="3"/>
      <c r="N120" s="8"/>
      <c r="O120" s="50"/>
      <c r="P120" s="50"/>
      <c r="Q120" s="50"/>
      <c r="R120" s="50"/>
      <c r="S120" s="39"/>
      <c r="T120" s="39"/>
      <c r="U120" s="39"/>
      <c r="V120" s="39"/>
      <c r="W120" s="37" cm="1">
        <f t="array" ref="W120">CheckYellowFill(Table248[[#This Row],[MD
(m)]])</f>
        <v>0</v>
      </c>
      <c r="X120" s="41" cm="1">
        <f t="array" ref="X120">isfontcolorred(Table248[[#This Row],[MD
(m)]])</f>
        <v>1</v>
      </c>
      <c r="Y120" s="37">
        <f>IF(Table248[[#This Row],[Plug Depth
Plan
(m)]]&lt;&gt;0,1,0)</f>
        <v>0</v>
      </c>
      <c r="Z120" s="41"/>
      <c r="AA120" s="42" t="str">
        <f>IF(Table248[[#This Row],[Plug Depth
Plan
(m)]]=0,"",ABS(Table248[[#This Row],[Plug Depth
Plan
(m)]]-Table248[[#This Row],[MD
(m)]]))</f>
        <v/>
      </c>
      <c r="AB120" s="28">
        <v>8689</v>
      </c>
    </row>
    <row r="121" spans="1:28" ht="16" thickBot="1" x14ac:dyDescent="0.25">
      <c r="A121" s="61">
        <v>3022.7</v>
      </c>
      <c r="B121" s="18">
        <v>2773.7257602739724</v>
      </c>
      <c r="C121" s="2"/>
      <c r="D121" s="2"/>
      <c r="E121" s="2"/>
      <c r="F121" s="2"/>
      <c r="G121" s="2"/>
      <c r="H121" s="2"/>
      <c r="I121" s="2"/>
      <c r="J121" s="7"/>
      <c r="K121" s="3"/>
      <c r="L121" s="3"/>
      <c r="M121" s="3"/>
      <c r="N121" s="8"/>
      <c r="O121" s="50"/>
      <c r="P121" s="50"/>
      <c r="Q121" s="50"/>
      <c r="R121" s="50"/>
      <c r="S121" s="39"/>
      <c r="T121" s="39"/>
      <c r="U121" s="39"/>
      <c r="V121" s="39"/>
      <c r="W121" s="37" cm="1">
        <f t="array" ref="W121">CheckYellowFill(Table248[[#This Row],[MD
(m)]])</f>
        <v>0</v>
      </c>
      <c r="X121" s="41" cm="1">
        <f t="array" ref="X121">isfontcolorred(Table248[[#This Row],[MD
(m)]])</f>
        <v>1</v>
      </c>
      <c r="Y121" s="37">
        <f>IF(Table248[[#This Row],[Plug Depth
Plan
(m)]]&lt;&gt;0,1,0)</f>
        <v>0</v>
      </c>
      <c r="Z121" s="41"/>
      <c r="AA121" s="42" t="str">
        <f>IF(Table248[[#This Row],[Plug Depth
Plan
(m)]]=0,"",ABS(Table248[[#This Row],[Plug Depth
Plan
(m)]]-Table248[[#This Row],[MD
(m)]]))</f>
        <v/>
      </c>
      <c r="AB121" s="28">
        <v>8689</v>
      </c>
    </row>
    <row r="122" spans="1:28" ht="16" thickBot="1" x14ac:dyDescent="0.25">
      <c r="A122" s="2">
        <v>3026.48</v>
      </c>
      <c r="B122" s="1">
        <v>2773.74</v>
      </c>
      <c r="C122" s="2">
        <v>90.15</v>
      </c>
      <c r="D122" s="2">
        <v>0.59</v>
      </c>
      <c r="E122" s="2">
        <v>0.8</v>
      </c>
      <c r="F122" s="1">
        <v>365.3</v>
      </c>
      <c r="G122" s="1">
        <v>187.83</v>
      </c>
      <c r="H122" s="1">
        <v>0.72</v>
      </c>
      <c r="I122" s="1">
        <v>0.36</v>
      </c>
      <c r="J122" s="7">
        <v>2942.16</v>
      </c>
      <c r="K122" s="3">
        <v>2777.98</v>
      </c>
      <c r="L122" s="3">
        <v>89.777000000000001</v>
      </c>
      <c r="M122" s="3">
        <v>359.084</v>
      </c>
      <c r="N122" s="8">
        <v>6.76</v>
      </c>
      <c r="O122" s="50">
        <v>269.85000000000002</v>
      </c>
      <c r="P122" s="50">
        <v>188.22</v>
      </c>
      <c r="Q122" s="50">
        <v>6.76</v>
      </c>
      <c r="R122" s="50">
        <v>0</v>
      </c>
      <c r="S122" s="39">
        <v>2780.65</v>
      </c>
      <c r="T122" s="39">
        <f>ABS(Table248[[#This Row],[mTVD
Lower
Marker]]-Table248[[#This Row],[TVD
(m)]])</f>
        <v>6.9100000000003092</v>
      </c>
      <c r="U122" s="39">
        <v>2770.65</v>
      </c>
      <c r="V122" s="39">
        <f>ABS(Table248[[#This Row],[mTVD
Upper
Marker]]-Table248[[#This Row],[TVD
(m)]])</f>
        <v>3.0899999999996908</v>
      </c>
      <c r="W122" s="37" cm="1">
        <f t="array" ref="W122">CheckYellowFill(Table248[[#This Row],[MD
(m)]])</f>
        <v>0</v>
      </c>
      <c r="X122" s="41" cm="1">
        <f t="array" ref="X122">isfontcolorred(Table248[[#This Row],[MD
(m)]])</f>
        <v>0</v>
      </c>
      <c r="Y122" s="37">
        <f>IF(Table248[[#This Row],[Plug Depth
Plan
(m)]]&lt;&gt;0,1,0)</f>
        <v>0</v>
      </c>
      <c r="Z122" s="41"/>
      <c r="AA122" s="42" t="str">
        <f>IF(Table248[[#This Row],[Plug Depth
Plan
(m)]]=0,"",ABS(Table248[[#This Row],[Plug Depth
Plan
(m)]]-Table248[[#This Row],[MD
(m)]]))</f>
        <v/>
      </c>
    </row>
    <row r="123" spans="1:28" ht="16" thickBot="1" x14ac:dyDescent="0.25">
      <c r="A123" s="64">
        <v>3027.7</v>
      </c>
      <c r="B123" s="68">
        <v>2773.7416700889803</v>
      </c>
      <c r="C123" s="2"/>
      <c r="D123" s="2"/>
      <c r="E123" s="2"/>
      <c r="F123" s="2"/>
      <c r="G123" s="2"/>
      <c r="H123" s="2"/>
      <c r="I123" s="2"/>
      <c r="J123" s="7"/>
      <c r="K123" s="3"/>
      <c r="L123" s="3"/>
      <c r="M123" s="3"/>
      <c r="N123" s="8"/>
      <c r="O123" s="50"/>
      <c r="P123" s="50"/>
      <c r="Q123" s="50"/>
      <c r="R123" s="50"/>
      <c r="S123" s="39"/>
      <c r="T123" s="39"/>
      <c r="U123" s="39"/>
      <c r="V123" s="39"/>
      <c r="W123" s="37" cm="1">
        <f t="array" ref="W123">CheckYellowFill(Table248[[#This Row],[MD
(m)]])</f>
        <v>1</v>
      </c>
      <c r="X123" s="41" cm="1">
        <f t="array" ref="X123">isfontcolorred(Table248[[#This Row],[MD
(m)]])</f>
        <v>0</v>
      </c>
      <c r="Y123" s="37">
        <f>IF(Table248[[#This Row],[Plug Depth
Plan
(m)]]&lt;&gt;0,1,0)</f>
        <v>1</v>
      </c>
      <c r="Z123" s="41">
        <v>3205</v>
      </c>
      <c r="AA123" s="42">
        <f>IF(Table248[[#This Row],[Plug Depth
Plan
(m)]]=0,"",ABS(Table248[[#This Row],[Plug Depth
Plan
(m)]]-Table248[[#This Row],[MD
(m)]]))</f>
        <v>177.30000000000018</v>
      </c>
    </row>
    <row r="124" spans="1:28" ht="16" thickBot="1" x14ac:dyDescent="0.25">
      <c r="A124" s="2">
        <v>3055.7</v>
      </c>
      <c r="B124" s="1">
        <v>2773.78</v>
      </c>
      <c r="C124" s="2">
        <v>89.69</v>
      </c>
      <c r="D124" s="2">
        <v>359.63</v>
      </c>
      <c r="E124" s="2">
        <v>1.0900000000000001</v>
      </c>
      <c r="F124" s="1">
        <v>394.52</v>
      </c>
      <c r="G124" s="1">
        <v>187.88</v>
      </c>
      <c r="H124" s="1">
        <v>-0.47</v>
      </c>
      <c r="I124" s="1">
        <v>-0.99</v>
      </c>
      <c r="J124" s="7">
        <v>2945.01</v>
      </c>
      <c r="K124" s="3">
        <v>2777.99</v>
      </c>
      <c r="L124" s="3">
        <v>89.777000000000001</v>
      </c>
      <c r="M124" s="3">
        <v>359.226</v>
      </c>
      <c r="N124" s="8">
        <v>1.5</v>
      </c>
      <c r="O124" s="50">
        <v>272.7</v>
      </c>
      <c r="P124" s="50">
        <v>188.18</v>
      </c>
      <c r="Q124" s="50">
        <v>0</v>
      </c>
      <c r="R124" s="50">
        <v>1.5</v>
      </c>
      <c r="S124" s="39">
        <v>2781.05</v>
      </c>
      <c r="T124" s="39">
        <f>ABS(Table248[[#This Row],[mTVD
Lower
Marker]]-Table248[[#This Row],[TVD
(m)]])</f>
        <v>7.2699999999999818</v>
      </c>
      <c r="U124" s="39">
        <v>2771.05</v>
      </c>
      <c r="V124" s="39">
        <f>ABS(Table248[[#This Row],[mTVD
Upper
Marker]]-Table248[[#This Row],[TVD
(m)]])</f>
        <v>2.7300000000000182</v>
      </c>
      <c r="W124" s="37" cm="1">
        <f t="array" ref="W124">CheckYellowFill(Table248[[#This Row],[MD
(m)]])</f>
        <v>0</v>
      </c>
      <c r="X124" s="41" cm="1">
        <f t="array" ref="X124">isfontcolorred(Table248[[#This Row],[MD
(m)]])</f>
        <v>0</v>
      </c>
      <c r="Y124" s="37">
        <v>1</v>
      </c>
      <c r="Z124" s="41"/>
      <c r="AA124" s="42" t="str">
        <f>IF(Table248[[#This Row],[Plug Depth
Plan
(m)]]=0,"",ABS(Table248[[#This Row],[Plug Depth
Plan
(m)]]-Table248[[#This Row],[MD
(m)]]))</f>
        <v/>
      </c>
    </row>
    <row r="125" spans="1:28" ht="16" thickBot="1" x14ac:dyDescent="0.25">
      <c r="A125" s="2">
        <v>3084.97</v>
      </c>
      <c r="B125" s="1">
        <v>2773.95</v>
      </c>
      <c r="C125" s="2">
        <v>89.63</v>
      </c>
      <c r="D125" s="2">
        <v>358.44</v>
      </c>
      <c r="E125" s="2">
        <v>1.22</v>
      </c>
      <c r="F125" s="1">
        <v>423.79</v>
      </c>
      <c r="G125" s="1">
        <v>187.39</v>
      </c>
      <c r="H125" s="1">
        <v>-0.06</v>
      </c>
      <c r="I125" s="1">
        <v>-1.22</v>
      </c>
      <c r="J125" s="7">
        <v>2961.48</v>
      </c>
      <c r="K125" s="3">
        <v>2778.06</v>
      </c>
      <c r="L125" s="3">
        <v>89.777000000000001</v>
      </c>
      <c r="M125" s="3">
        <v>0.05</v>
      </c>
      <c r="N125" s="8">
        <v>1.5</v>
      </c>
      <c r="O125" s="50">
        <v>289.17</v>
      </c>
      <c r="P125" s="50">
        <v>188.07</v>
      </c>
      <c r="Q125" s="50">
        <v>0</v>
      </c>
      <c r="R125" s="50">
        <v>1.5</v>
      </c>
      <c r="S125" s="39">
        <v>2781.45</v>
      </c>
      <c r="T125" s="39">
        <f>ABS(Table248[[#This Row],[mTVD
Lower
Marker]]-Table248[[#This Row],[TVD
(m)]])</f>
        <v>7.5</v>
      </c>
      <c r="U125" s="39">
        <v>2771.45</v>
      </c>
      <c r="V125" s="39">
        <f>ABS(Table248[[#This Row],[mTVD
Upper
Marker]]-Table248[[#This Row],[TVD
(m)]])</f>
        <v>2.5</v>
      </c>
      <c r="W125" s="37" cm="1">
        <f t="array" ref="W125">CheckYellowFill(Table248[[#This Row],[MD
(m)]])</f>
        <v>0</v>
      </c>
      <c r="X125" s="41" cm="1">
        <f t="array" ref="X125">isfontcolorred(Table248[[#This Row],[MD
(m)]])</f>
        <v>0</v>
      </c>
      <c r="Y125" s="37">
        <v>1</v>
      </c>
      <c r="Z125" s="41"/>
      <c r="AA125" s="42" t="str">
        <f>IF(Table248[[#This Row],[Plug Depth
Plan
(m)]]=0,"",ABS(Table248[[#This Row],[Plug Depth
Plan
(m)]]-Table248[[#This Row],[MD
(m)]]))</f>
        <v/>
      </c>
    </row>
    <row r="126" spans="1:28" ht="16" thickBot="1" x14ac:dyDescent="0.25">
      <c r="A126" s="2">
        <v>3107.03</v>
      </c>
      <c r="B126" s="1">
        <v>2774.16</v>
      </c>
      <c r="C126" s="2">
        <v>89.26</v>
      </c>
      <c r="D126" s="2">
        <v>357.82</v>
      </c>
      <c r="E126" s="2">
        <v>0.98</v>
      </c>
      <c r="F126" s="1">
        <v>445.83</v>
      </c>
      <c r="G126" s="1">
        <v>186.67</v>
      </c>
      <c r="H126" s="1">
        <v>-0.5</v>
      </c>
      <c r="I126" s="1">
        <v>-0.84</v>
      </c>
      <c r="J126" s="7">
        <v>2975.01</v>
      </c>
      <c r="K126" s="3">
        <v>2778.11</v>
      </c>
      <c r="L126" s="3">
        <v>89.777000000000001</v>
      </c>
      <c r="M126" s="3">
        <v>0.05</v>
      </c>
      <c r="N126" s="8">
        <v>0</v>
      </c>
      <c r="O126" s="50">
        <v>302.7</v>
      </c>
      <c r="P126" s="50">
        <v>188.09</v>
      </c>
      <c r="Q126" s="50">
        <v>0</v>
      </c>
      <c r="R126" s="50">
        <v>0</v>
      </c>
      <c r="S126" s="39">
        <v>2781.75</v>
      </c>
      <c r="T126" s="39">
        <f>ABS(Table248[[#This Row],[mTVD
Lower
Marker]]-Table248[[#This Row],[TVD
(m)]])</f>
        <v>7.5900000000001455</v>
      </c>
      <c r="U126" s="39">
        <v>2771.75</v>
      </c>
      <c r="V126" s="39">
        <f>ABS(Table248[[#This Row],[mTVD
Upper
Marker]]-Table248[[#This Row],[TVD
(m)]])</f>
        <v>2.4099999999998545</v>
      </c>
      <c r="W126" s="37" cm="1">
        <f t="array" ref="W126">CheckYellowFill(Table248[[#This Row],[MD
(m)]])</f>
        <v>0</v>
      </c>
      <c r="X126" s="41" cm="1">
        <f t="array" ref="X126">isfontcolorred(Table248[[#This Row],[MD
(m)]])</f>
        <v>0</v>
      </c>
      <c r="Y126" s="37">
        <v>1</v>
      </c>
      <c r="Z126" s="41"/>
      <c r="AA126" s="42" t="str">
        <f>IF(Table248[[#This Row],[Plug Depth
Plan
(m)]]=0,"",ABS(Table248[[#This Row],[Plug Depth
Plan
(m)]]-Table248[[#This Row],[MD
(m)]]))</f>
        <v/>
      </c>
    </row>
    <row r="127" spans="1:28" ht="16" thickBot="1" x14ac:dyDescent="0.25">
      <c r="A127" s="2">
        <v>3126.76</v>
      </c>
      <c r="B127" s="1">
        <v>2774.59</v>
      </c>
      <c r="C127" s="2">
        <v>88.28</v>
      </c>
      <c r="D127" s="2">
        <v>356.75</v>
      </c>
      <c r="E127" s="2">
        <v>2.21</v>
      </c>
      <c r="F127" s="1">
        <v>465.54</v>
      </c>
      <c r="G127" s="1">
        <v>185.74</v>
      </c>
      <c r="H127" s="1">
        <v>-1.49</v>
      </c>
      <c r="I127" s="1">
        <v>-1.63</v>
      </c>
      <c r="J127" s="7">
        <v>3005.01</v>
      </c>
      <c r="K127" s="3">
        <v>2778.22</v>
      </c>
      <c r="L127" s="3">
        <v>89.777000000000001</v>
      </c>
      <c r="M127" s="3">
        <v>0.05</v>
      </c>
      <c r="N127" s="8">
        <v>0</v>
      </c>
      <c r="O127" s="50">
        <v>332.7</v>
      </c>
      <c r="P127" s="50">
        <v>188.11</v>
      </c>
      <c r="Q127" s="50">
        <v>0</v>
      </c>
      <c r="R127" s="50">
        <v>0</v>
      </c>
      <c r="S127" s="39">
        <v>2782.03</v>
      </c>
      <c r="T127" s="39">
        <f>ABS(Table248[[#This Row],[mTVD
Lower
Marker]]-Table248[[#This Row],[TVD
(m)]])</f>
        <v>7.4400000000000546</v>
      </c>
      <c r="U127" s="39">
        <v>2772.03</v>
      </c>
      <c r="V127" s="39">
        <f>ABS(Table248[[#This Row],[mTVD
Upper
Marker]]-Table248[[#This Row],[TVD
(m)]])</f>
        <v>2.5599999999999454</v>
      </c>
      <c r="W127" s="37" cm="1">
        <f t="array" ref="W127">CheckYellowFill(Table248[[#This Row],[MD
(m)]])</f>
        <v>0</v>
      </c>
      <c r="X127" s="41" cm="1">
        <f t="array" ref="X127">isfontcolorred(Table248[[#This Row],[MD
(m)]])</f>
        <v>0</v>
      </c>
      <c r="Y127" s="37">
        <v>1</v>
      </c>
      <c r="Z127" s="41"/>
      <c r="AA127" s="42" t="str">
        <f>IF(Table248[[#This Row],[Plug Depth
Plan
(m)]]=0,"",ABS(Table248[[#This Row],[Plug Depth
Plan
(m)]]-Table248[[#This Row],[MD
(m)]]))</f>
        <v/>
      </c>
    </row>
    <row r="128" spans="1:28" ht="16" thickBot="1" x14ac:dyDescent="0.25">
      <c r="A128" s="2">
        <v>3154.93</v>
      </c>
      <c r="B128" s="1">
        <v>2775.23</v>
      </c>
      <c r="C128" s="2">
        <v>89.11</v>
      </c>
      <c r="D128" s="2">
        <v>357.57</v>
      </c>
      <c r="E128" s="2">
        <v>1.24</v>
      </c>
      <c r="F128" s="1">
        <v>493.67</v>
      </c>
      <c r="G128" s="1">
        <v>184.34</v>
      </c>
      <c r="H128" s="1">
        <v>0.88</v>
      </c>
      <c r="I128" s="1">
        <v>0.87</v>
      </c>
      <c r="J128" s="7">
        <v>3035.01</v>
      </c>
      <c r="K128" s="3">
        <v>2778.34</v>
      </c>
      <c r="L128" s="3">
        <v>89.777000000000001</v>
      </c>
      <c r="M128" s="3">
        <v>0.05</v>
      </c>
      <c r="N128" s="8">
        <v>0</v>
      </c>
      <c r="O128" s="50">
        <v>362.7</v>
      </c>
      <c r="P128" s="50">
        <v>188.14</v>
      </c>
      <c r="Q128" s="50">
        <v>0</v>
      </c>
      <c r="R128" s="50">
        <v>0</v>
      </c>
      <c r="S128" s="39">
        <v>2782.43</v>
      </c>
      <c r="T128" s="39">
        <f>ABS(Table248[[#This Row],[mTVD
Lower
Marker]]-Table248[[#This Row],[TVD
(m)]])</f>
        <v>7.1999999999998181</v>
      </c>
      <c r="U128" s="39">
        <v>2772.43</v>
      </c>
      <c r="V128" s="39">
        <f>ABS(Table248[[#This Row],[mTVD
Upper
Marker]]-Table248[[#This Row],[TVD
(m)]])</f>
        <v>2.8000000000001819</v>
      </c>
      <c r="W128" s="37" cm="1">
        <f t="array" ref="W128">CheckYellowFill(Table248[[#This Row],[MD
(m)]])</f>
        <v>0</v>
      </c>
      <c r="X128" s="41" cm="1">
        <f t="array" ref="X128">isfontcolorred(Table248[[#This Row],[MD
(m)]])</f>
        <v>0</v>
      </c>
      <c r="Y128" s="37">
        <v>1</v>
      </c>
      <c r="Z128" s="41"/>
      <c r="AA128" s="42" t="str">
        <f>IF(Table248[[#This Row],[Plug Depth
Plan
(m)]]=0,"",ABS(Table248[[#This Row],[Plug Depth
Plan
(m)]]-Table248[[#This Row],[MD
(m)]]))</f>
        <v/>
      </c>
    </row>
    <row r="129" spans="1:28" ht="16" thickBot="1" x14ac:dyDescent="0.25">
      <c r="A129" s="2">
        <v>3184.21</v>
      </c>
      <c r="B129" s="1">
        <v>2775.57</v>
      </c>
      <c r="C129" s="2">
        <v>89.57</v>
      </c>
      <c r="D129" s="2">
        <v>357.2</v>
      </c>
      <c r="E129" s="2">
        <v>0.6</v>
      </c>
      <c r="F129" s="1">
        <v>522.91</v>
      </c>
      <c r="G129" s="1">
        <v>183</v>
      </c>
      <c r="H129" s="1">
        <v>0.47</v>
      </c>
      <c r="I129" s="1">
        <v>-0.38</v>
      </c>
      <c r="J129" s="7">
        <v>3065.01</v>
      </c>
      <c r="K129" s="3">
        <v>2778.46</v>
      </c>
      <c r="L129" s="3">
        <v>89.777000000000001</v>
      </c>
      <c r="M129" s="3">
        <v>0.05</v>
      </c>
      <c r="N129" s="8">
        <v>0</v>
      </c>
      <c r="O129" s="50">
        <v>392.7</v>
      </c>
      <c r="P129" s="50">
        <v>188.16</v>
      </c>
      <c r="Q129" s="50">
        <v>0</v>
      </c>
      <c r="R129" s="50">
        <v>0</v>
      </c>
      <c r="S129" s="39">
        <v>2782.84</v>
      </c>
      <c r="T129" s="39">
        <f>ABS(Table248[[#This Row],[mTVD
Lower
Marker]]-Table248[[#This Row],[TVD
(m)]])</f>
        <v>7.2699999999999818</v>
      </c>
      <c r="U129" s="39">
        <v>2772.84</v>
      </c>
      <c r="V129" s="39">
        <f>ABS(Table248[[#This Row],[mTVD
Upper
Marker]]-Table248[[#This Row],[TVD
(m)]])</f>
        <v>2.7300000000000182</v>
      </c>
      <c r="W129" s="37" cm="1">
        <f t="array" ref="W129">CheckYellowFill(Table248[[#This Row],[MD
(m)]])</f>
        <v>0</v>
      </c>
      <c r="X129" s="41" cm="1">
        <f t="array" ref="X129">isfontcolorred(Table248[[#This Row],[MD
(m)]])</f>
        <v>0</v>
      </c>
      <c r="Y129" s="37">
        <v>1</v>
      </c>
      <c r="Z129" s="41"/>
      <c r="AA129" s="42" t="str">
        <f>IF(Table248[[#This Row],[Plug Depth
Plan
(m)]]=0,"",ABS(Table248[[#This Row],[Plug Depth
Plan
(m)]]-Table248[[#This Row],[MD
(m)]]))</f>
        <v/>
      </c>
    </row>
    <row r="130" spans="1:28" ht="16" thickBot="1" x14ac:dyDescent="0.25">
      <c r="A130" s="60">
        <v>3205</v>
      </c>
      <c r="B130" s="19">
        <v>2775.7200309278351</v>
      </c>
      <c r="C130" s="2"/>
      <c r="D130" s="2"/>
      <c r="E130" s="2"/>
      <c r="F130" s="2"/>
      <c r="G130" s="2"/>
      <c r="H130" s="2"/>
      <c r="I130" s="2"/>
      <c r="J130" s="7"/>
      <c r="K130" s="3"/>
      <c r="L130" s="3"/>
      <c r="M130" s="3"/>
      <c r="N130" s="8"/>
      <c r="O130" s="50"/>
      <c r="P130" s="50"/>
      <c r="Q130" s="50"/>
      <c r="R130" s="50"/>
      <c r="S130" s="39"/>
      <c r="T130" s="39"/>
      <c r="U130" s="39"/>
      <c r="V130" s="39"/>
      <c r="W130" s="37" cm="1">
        <f t="array" ref="W130">CheckYellowFill(Table248[[#This Row],[MD
(m)]])</f>
        <v>0</v>
      </c>
      <c r="X130" s="41" cm="1">
        <f t="array" ref="X130">isfontcolorred(Table248[[#This Row],[MD
(m)]])</f>
        <v>1</v>
      </c>
      <c r="Y130" s="37">
        <v>1</v>
      </c>
      <c r="Z130" s="41"/>
      <c r="AA130" s="42" t="str">
        <f>IF(Table248[[#This Row],[Plug Depth
Plan
(m)]]=0,"",ABS(Table248[[#This Row],[Plug Depth
Plan
(m)]]-Table248[[#This Row],[MD
(m)]]))</f>
        <v/>
      </c>
      <c r="AB130" s="28">
        <v>10594</v>
      </c>
    </row>
    <row r="131" spans="1:28" ht="16" thickBot="1" x14ac:dyDescent="0.25">
      <c r="A131" s="60">
        <v>3212.5</v>
      </c>
      <c r="B131" s="18">
        <v>2775.7741546391753</v>
      </c>
      <c r="C131" s="2"/>
      <c r="D131" s="2"/>
      <c r="E131" s="2"/>
      <c r="F131" s="2"/>
      <c r="G131" s="2"/>
      <c r="H131" s="2"/>
      <c r="I131" s="2"/>
      <c r="J131" s="7"/>
      <c r="K131" s="3"/>
      <c r="L131" s="3"/>
      <c r="M131" s="3"/>
      <c r="N131" s="8"/>
      <c r="O131" s="50"/>
      <c r="P131" s="50"/>
      <c r="Q131" s="50"/>
      <c r="R131" s="50"/>
      <c r="S131" s="39"/>
      <c r="T131" s="39"/>
      <c r="U131" s="39"/>
      <c r="V131" s="39"/>
      <c r="W131" s="37" cm="1">
        <f t="array" ref="W131">CheckYellowFill(Table248[[#This Row],[MD
(m)]])</f>
        <v>0</v>
      </c>
      <c r="X131" s="41" cm="1">
        <f t="array" ref="X131">isfontcolorred(Table248[[#This Row],[MD
(m)]])</f>
        <v>1</v>
      </c>
      <c r="Y131" s="37">
        <f>IF(Table248[[#This Row],[Plug Depth
Plan
(m)]]&lt;&gt;0,1,0)</f>
        <v>0</v>
      </c>
      <c r="Z131" s="41"/>
      <c r="AA131" s="42" t="str">
        <f>IF(Table248[[#This Row],[Plug Depth
Plan
(m)]]=0,"",ABS(Table248[[#This Row],[Plug Depth
Plan
(m)]]-Table248[[#This Row],[MD
(m)]]))</f>
        <v/>
      </c>
      <c r="AB131" s="28">
        <v>10594</v>
      </c>
    </row>
    <row r="132" spans="1:28" ht="16" thickBot="1" x14ac:dyDescent="0.25">
      <c r="A132" s="2">
        <v>3213.31</v>
      </c>
      <c r="B132" s="1">
        <v>2775.78</v>
      </c>
      <c r="C132" s="2">
        <v>89.6</v>
      </c>
      <c r="D132" s="2">
        <v>357.12</v>
      </c>
      <c r="E132" s="2">
        <v>0.09</v>
      </c>
      <c r="F132" s="1">
        <v>551.98</v>
      </c>
      <c r="G132" s="1">
        <v>181.56</v>
      </c>
      <c r="H132" s="1">
        <v>0.03</v>
      </c>
      <c r="I132" s="1">
        <v>-0.08</v>
      </c>
      <c r="J132" s="7">
        <v>3095.01</v>
      </c>
      <c r="K132" s="3">
        <v>2778.57</v>
      </c>
      <c r="L132" s="3">
        <v>89.777000000000001</v>
      </c>
      <c r="M132" s="3">
        <v>0.05</v>
      </c>
      <c r="N132" s="8">
        <v>0</v>
      </c>
      <c r="O132" s="50">
        <v>422.7</v>
      </c>
      <c r="P132" s="50">
        <v>188.19</v>
      </c>
      <c r="Q132" s="50">
        <v>0</v>
      </c>
      <c r="R132" s="50">
        <v>0</v>
      </c>
      <c r="S132" s="39">
        <v>2783.24</v>
      </c>
      <c r="T132" s="39">
        <f>ABS(Table248[[#This Row],[mTVD
Lower
Marker]]-Table248[[#This Row],[TVD
(m)]])</f>
        <v>7.4599999999995816</v>
      </c>
      <c r="U132" s="39">
        <v>2773.24</v>
      </c>
      <c r="V132" s="39">
        <f>ABS(Table248[[#This Row],[mTVD
Upper
Marker]]-Table248[[#This Row],[TVD
(m)]])</f>
        <v>2.5400000000004184</v>
      </c>
      <c r="W132" s="37" cm="1">
        <f t="array" ref="W132">CheckYellowFill(Table248[[#This Row],[MD
(m)]])</f>
        <v>0</v>
      </c>
      <c r="X132" s="41" cm="1">
        <f t="array" ref="X132">isfontcolorred(Table248[[#This Row],[MD
(m)]])</f>
        <v>0</v>
      </c>
      <c r="Y132" s="37">
        <f>IF(Table248[[#This Row],[Plug Depth
Plan
(m)]]&lt;&gt;0,1,0)</f>
        <v>0</v>
      </c>
      <c r="Z132" s="41"/>
      <c r="AA132" s="42" t="str">
        <f>IF(Table248[[#This Row],[Plug Depth
Plan
(m)]]=0,"",ABS(Table248[[#This Row],[Plug Depth
Plan
(m)]]-Table248[[#This Row],[MD
(m)]]))</f>
        <v/>
      </c>
    </row>
    <row r="133" spans="1:28" ht="16" thickBot="1" x14ac:dyDescent="0.25">
      <c r="A133" s="61">
        <v>3225</v>
      </c>
      <c r="B133" s="18">
        <v>2775.9092605390465</v>
      </c>
      <c r="C133" s="2"/>
      <c r="D133" s="2"/>
      <c r="E133" s="2"/>
      <c r="F133" s="2"/>
      <c r="G133" s="2"/>
      <c r="H133" s="2"/>
      <c r="I133" s="2"/>
      <c r="J133" s="7"/>
      <c r="K133" s="3"/>
      <c r="L133" s="3"/>
      <c r="M133" s="3"/>
      <c r="N133" s="8"/>
      <c r="O133" s="50"/>
      <c r="P133" s="50"/>
      <c r="Q133" s="50"/>
      <c r="R133" s="50"/>
      <c r="S133" s="39"/>
      <c r="T133" s="39"/>
      <c r="U133" s="39"/>
      <c r="V133" s="39"/>
      <c r="W133" s="37" cm="1">
        <f t="array" ref="W133">CheckYellowFill(Table248[[#This Row],[MD
(m)]])</f>
        <v>0</v>
      </c>
      <c r="X133" s="41" cm="1">
        <f t="array" ref="X133">isfontcolorred(Table248[[#This Row],[MD
(m)]])</f>
        <v>1</v>
      </c>
      <c r="Y133" s="37">
        <f>IF(Table248[[#This Row],[Plug Depth
Plan
(m)]]&lt;&gt;0,1,0)</f>
        <v>0</v>
      </c>
      <c r="Z133" s="41"/>
      <c r="AA133" s="42" t="str">
        <f>IF(Table248[[#This Row],[Plug Depth
Plan
(m)]]=0,"",ABS(Table248[[#This Row],[Plug Depth
Plan
(m)]]-Table248[[#This Row],[MD
(m)]]))</f>
        <v/>
      </c>
      <c r="AB133" s="28">
        <v>10594</v>
      </c>
    </row>
    <row r="134" spans="1:28" ht="16" thickBot="1" x14ac:dyDescent="0.25">
      <c r="A134" s="60">
        <v>3237.5</v>
      </c>
      <c r="B134" s="19">
        <v>2776.0474775397374</v>
      </c>
      <c r="C134" s="2"/>
      <c r="D134" s="2"/>
      <c r="E134" s="2"/>
      <c r="F134" s="2"/>
      <c r="G134" s="2"/>
      <c r="H134" s="2"/>
      <c r="I134" s="2"/>
      <c r="J134" s="7"/>
      <c r="K134" s="3"/>
      <c r="L134" s="3"/>
      <c r="M134" s="3"/>
      <c r="N134" s="8"/>
      <c r="O134" s="50"/>
      <c r="P134" s="50"/>
      <c r="Q134" s="50"/>
      <c r="R134" s="50"/>
      <c r="S134" s="39"/>
      <c r="T134" s="39"/>
      <c r="U134" s="39"/>
      <c r="V134" s="39"/>
      <c r="W134" s="37" cm="1">
        <f t="array" ref="W134">CheckYellowFill(Table248[[#This Row],[MD
(m)]])</f>
        <v>0</v>
      </c>
      <c r="X134" s="39" cm="1">
        <f t="array" ref="X134">isfontcolorred(Table248[[#This Row],[MD
(m)]])</f>
        <v>1</v>
      </c>
      <c r="Y134" s="37">
        <f>IF(Table248[[#This Row],[Plug Depth
Plan
(m)]]&lt;&gt;0,1,0)</f>
        <v>0</v>
      </c>
      <c r="Z134" s="39"/>
      <c r="AA134" s="40" t="str">
        <f>IF(Table248[[#This Row],[Plug Depth
Plan
(m)]]=0,"",ABS(Table248[[#This Row],[Plug Depth
Plan
(m)]]-Table248[[#This Row],[MD
(m)]]))</f>
        <v/>
      </c>
      <c r="AB134" s="28">
        <v>10594</v>
      </c>
    </row>
    <row r="135" spans="1:28" ht="16" thickBot="1" x14ac:dyDescent="0.25">
      <c r="A135" s="2">
        <v>3242.25</v>
      </c>
      <c r="B135" s="1">
        <v>2776.1</v>
      </c>
      <c r="C135" s="2">
        <v>89.11</v>
      </c>
      <c r="D135" s="2">
        <v>357.35</v>
      </c>
      <c r="E135" s="2">
        <v>0.56000000000000005</v>
      </c>
      <c r="F135" s="1">
        <v>580.88</v>
      </c>
      <c r="G135" s="1">
        <v>180.17</v>
      </c>
      <c r="H135" s="1">
        <v>-0.51</v>
      </c>
      <c r="I135" s="1">
        <v>0.24</v>
      </c>
      <c r="J135" s="7">
        <v>3125.01</v>
      </c>
      <c r="K135" s="3">
        <v>2778.69</v>
      </c>
      <c r="L135" s="3">
        <v>89.777000000000001</v>
      </c>
      <c r="M135" s="3">
        <v>0.05</v>
      </c>
      <c r="N135" s="8">
        <v>0</v>
      </c>
      <c r="O135" s="50">
        <v>452.7</v>
      </c>
      <c r="P135" s="50">
        <v>188.22</v>
      </c>
      <c r="Q135" s="50">
        <v>0</v>
      </c>
      <c r="R135" s="50">
        <v>0</v>
      </c>
      <c r="S135" s="39">
        <v>2783.65</v>
      </c>
      <c r="T135" s="39">
        <f>ABS(Table248[[#This Row],[mTVD
Lower
Marker]]-Table248[[#This Row],[TVD
(m)]])</f>
        <v>7.5500000000001819</v>
      </c>
      <c r="U135" s="39">
        <v>2773.65</v>
      </c>
      <c r="V135" s="39">
        <f>ABS(Table248[[#This Row],[mTVD
Upper
Marker]]-Table248[[#This Row],[TVD
(m)]])</f>
        <v>2.4499999999998181</v>
      </c>
      <c r="W135" s="37" cm="1">
        <f t="array" ref="W135">CheckYellowFill(Table248[[#This Row],[MD
(m)]])</f>
        <v>0</v>
      </c>
      <c r="X135" s="39" cm="1">
        <f t="array" ref="X135">isfontcolorred(Table248[[#This Row],[MD
(m)]])</f>
        <v>0</v>
      </c>
      <c r="Y135" s="37">
        <f>IF(Table248[[#This Row],[Plug Depth
Plan
(m)]]&lt;&gt;0,1,0)</f>
        <v>0</v>
      </c>
      <c r="Z135" s="39"/>
      <c r="AA135" s="40" t="str">
        <f>IF(Table248[[#This Row],[Plug Depth
Plan
(m)]]=0,"",ABS(Table248[[#This Row],[Plug Depth
Plan
(m)]]-Table248[[#This Row],[MD
(m)]]))</f>
        <v/>
      </c>
    </row>
    <row r="136" spans="1:28" ht="16" thickBot="1" x14ac:dyDescent="0.25">
      <c r="A136" s="60">
        <v>3250</v>
      </c>
      <c r="B136" s="18">
        <v>2776.2263440860215</v>
      </c>
      <c r="C136" s="2"/>
      <c r="D136" s="2"/>
      <c r="E136" s="2"/>
      <c r="F136" s="2"/>
      <c r="G136" s="2"/>
      <c r="H136" s="2"/>
      <c r="I136" s="2"/>
      <c r="J136" s="7"/>
      <c r="K136" s="3"/>
      <c r="L136" s="3"/>
      <c r="M136" s="3"/>
      <c r="N136" s="8"/>
      <c r="O136" s="50"/>
      <c r="P136" s="50"/>
      <c r="Q136" s="50"/>
      <c r="R136" s="50"/>
      <c r="S136" s="39"/>
      <c r="T136" s="39"/>
      <c r="U136" s="39"/>
      <c r="V136" s="39"/>
      <c r="W136" s="37" cm="1">
        <f t="array" ref="W136">CheckYellowFill(Table248[[#This Row],[MD
(m)]])</f>
        <v>0</v>
      </c>
      <c r="X136" s="39" cm="1">
        <f t="array" ref="X136">isfontcolorred(Table248[[#This Row],[MD
(m)]])</f>
        <v>1</v>
      </c>
      <c r="Y136" s="37">
        <f>IF(Table248[[#This Row],[Plug Depth
Plan
(m)]]&lt;&gt;0,1,0)</f>
        <v>0</v>
      </c>
      <c r="Z136" s="39"/>
      <c r="AA136" s="40" t="str">
        <f>IF(Table248[[#This Row],[Plug Depth
Plan
(m)]]=0,"",ABS(Table248[[#This Row],[Plug Depth
Plan
(m)]]-Table248[[#This Row],[MD
(m)]]))</f>
        <v/>
      </c>
      <c r="AB136" s="28">
        <v>10594</v>
      </c>
    </row>
    <row r="137" spans="1:28" ht="16" thickBot="1" x14ac:dyDescent="0.25">
      <c r="A137" s="60">
        <v>3262.5</v>
      </c>
      <c r="B137" s="19">
        <v>2776.4301248699276</v>
      </c>
      <c r="C137" s="2"/>
      <c r="D137" s="2"/>
      <c r="E137" s="2"/>
      <c r="F137" s="2"/>
      <c r="G137" s="2"/>
      <c r="H137" s="2"/>
      <c r="I137" s="2"/>
      <c r="J137" s="7"/>
      <c r="K137" s="3"/>
      <c r="L137" s="3"/>
      <c r="M137" s="3"/>
      <c r="N137" s="8"/>
      <c r="O137" s="50"/>
      <c r="P137" s="50"/>
      <c r="Q137" s="50"/>
      <c r="R137" s="50"/>
      <c r="S137" s="39"/>
      <c r="T137" s="39"/>
      <c r="U137" s="39"/>
      <c r="V137" s="39"/>
      <c r="W137" s="37" cm="1">
        <f t="array" ref="W137">CheckYellowFill(Table248[[#This Row],[MD
(m)]])</f>
        <v>0</v>
      </c>
      <c r="X137" s="41" cm="1">
        <f t="array" ref="X137">isfontcolorred(Table248[[#This Row],[MD
(m)]])</f>
        <v>1</v>
      </c>
      <c r="Y137" s="37">
        <f>IF(Table248[[#This Row],[Plug Depth
Plan
(m)]]&lt;&gt;0,1,0)</f>
        <v>0</v>
      </c>
      <c r="Z137" s="41"/>
      <c r="AA137" s="42" t="str">
        <f>IF(Table248[[#This Row],[Plug Depth
Plan
(m)]]=0,"",ABS(Table248[[#This Row],[Plug Depth
Plan
(m)]]-Table248[[#This Row],[MD
(m)]]))</f>
        <v/>
      </c>
      <c r="AB137" s="28">
        <v>9900</v>
      </c>
    </row>
    <row r="138" spans="1:28" ht="16" thickBot="1" x14ac:dyDescent="0.25">
      <c r="A138" s="2">
        <v>3271.08</v>
      </c>
      <c r="B138" s="1">
        <v>2776.57</v>
      </c>
      <c r="C138" s="2">
        <v>89.05</v>
      </c>
      <c r="D138" s="2">
        <v>357.01</v>
      </c>
      <c r="E138" s="2">
        <v>0.36</v>
      </c>
      <c r="F138" s="1">
        <v>609.66999999999996</v>
      </c>
      <c r="G138" s="1">
        <v>178.75</v>
      </c>
      <c r="H138" s="1">
        <v>-0.06</v>
      </c>
      <c r="I138" s="1">
        <v>-0.35</v>
      </c>
      <c r="J138" s="7">
        <v>3155.01</v>
      </c>
      <c r="K138" s="3">
        <v>2778.81</v>
      </c>
      <c r="L138" s="3">
        <v>89.777000000000001</v>
      </c>
      <c r="M138" s="3">
        <v>0.05</v>
      </c>
      <c r="N138" s="8">
        <v>0</v>
      </c>
      <c r="O138" s="50">
        <v>482.7</v>
      </c>
      <c r="P138" s="50">
        <v>188.24</v>
      </c>
      <c r="Q138" s="50">
        <v>0</v>
      </c>
      <c r="R138" s="50">
        <v>0</v>
      </c>
      <c r="S138" s="39">
        <v>2784.05</v>
      </c>
      <c r="T138" s="39">
        <f>ABS(Table248[[#This Row],[mTVD
Lower
Marker]]-Table248[[#This Row],[TVD
(m)]])</f>
        <v>7.4800000000000182</v>
      </c>
      <c r="U138" s="39">
        <v>2774.05</v>
      </c>
      <c r="V138" s="39">
        <f>ABS(Table248[[#This Row],[mTVD
Upper
Marker]]-Table248[[#This Row],[TVD
(m)]])</f>
        <v>2.5199999999999818</v>
      </c>
      <c r="W138" s="37" cm="1">
        <f t="array" ref="W138">CheckYellowFill(Table248[[#This Row],[MD
(m)]])</f>
        <v>0</v>
      </c>
      <c r="X138" s="41" cm="1">
        <f t="array" ref="X138">isfontcolorred(Table248[[#This Row],[MD
(m)]])</f>
        <v>0</v>
      </c>
      <c r="Y138" s="37">
        <f>IF(Table248[[#This Row],[Plug Depth
Plan
(m)]]&lt;&gt;0,1,0)</f>
        <v>0</v>
      </c>
      <c r="Z138" s="41"/>
      <c r="AA138" s="42" t="str">
        <f>IF(Table248[[#This Row],[Plug Depth
Plan
(m)]]=0,"",ABS(Table248[[#This Row],[Plug Depth
Plan
(m)]]-Table248[[#This Row],[MD
(m)]]))</f>
        <v/>
      </c>
    </row>
    <row r="139" spans="1:28" ht="16" thickBot="1" x14ac:dyDescent="0.25">
      <c r="A139" s="61">
        <v>3275</v>
      </c>
      <c r="B139" s="18">
        <v>2776.6413461538464</v>
      </c>
      <c r="C139" s="2"/>
      <c r="D139" s="2"/>
      <c r="E139" s="2"/>
      <c r="F139" s="2"/>
      <c r="G139" s="2"/>
      <c r="H139" s="2"/>
      <c r="I139" s="2"/>
      <c r="J139" s="7"/>
      <c r="K139" s="3"/>
      <c r="L139" s="3"/>
      <c r="M139" s="3"/>
      <c r="N139" s="8"/>
      <c r="O139" s="50"/>
      <c r="P139" s="50"/>
      <c r="Q139" s="50"/>
      <c r="R139" s="50"/>
      <c r="S139" s="39"/>
      <c r="T139" s="39"/>
      <c r="U139" s="39"/>
      <c r="V139" s="39"/>
      <c r="W139" s="37" cm="1">
        <f t="array" ref="W139">CheckYellowFill(Table248[[#This Row],[MD
(m)]])</f>
        <v>0</v>
      </c>
      <c r="X139" s="41" cm="1">
        <f t="array" ref="X139">isfontcolorred(Table248[[#This Row],[MD
(m)]])</f>
        <v>1</v>
      </c>
      <c r="Y139" s="37">
        <f>IF(Table248[[#This Row],[Plug Depth
Plan
(m)]]&lt;&gt;0,1,0)</f>
        <v>0</v>
      </c>
      <c r="Z139" s="41"/>
      <c r="AA139" s="42" t="str">
        <f>IF(Table248[[#This Row],[Plug Depth
Plan
(m)]]=0,"",ABS(Table248[[#This Row],[Plug Depth
Plan
(m)]]-Table248[[#This Row],[MD
(m)]]))</f>
        <v/>
      </c>
      <c r="AB139" s="28">
        <v>9900</v>
      </c>
    </row>
    <row r="140" spans="1:28" ht="16" thickBot="1" x14ac:dyDescent="0.25">
      <c r="A140" s="60">
        <v>3287.5</v>
      </c>
      <c r="B140" s="18">
        <v>2776.8688530219779</v>
      </c>
      <c r="C140" s="2"/>
      <c r="D140" s="2"/>
      <c r="E140" s="2"/>
      <c r="F140" s="2"/>
      <c r="G140" s="2"/>
      <c r="H140" s="2"/>
      <c r="I140" s="2"/>
      <c r="J140" s="7"/>
      <c r="K140" s="3"/>
      <c r="L140" s="3"/>
      <c r="M140" s="3"/>
      <c r="N140" s="8"/>
      <c r="O140" s="50"/>
      <c r="P140" s="50"/>
      <c r="Q140" s="50"/>
      <c r="R140" s="50"/>
      <c r="S140" s="39"/>
      <c r="T140" s="39"/>
      <c r="U140" s="39"/>
      <c r="V140" s="39"/>
      <c r="W140" s="37" cm="1">
        <f t="array" ref="W140">CheckYellowFill(Table248[[#This Row],[MD
(m)]])</f>
        <v>0</v>
      </c>
      <c r="X140" s="41" cm="1">
        <f t="array" ref="X140">isfontcolorred(Table248[[#This Row],[MD
(m)]])</f>
        <v>1</v>
      </c>
      <c r="Y140" s="37">
        <f>IF(Table248[[#This Row],[Plug Depth
Plan
(m)]]&lt;&gt;0,1,0)</f>
        <v>0</v>
      </c>
      <c r="Z140" s="41"/>
      <c r="AA140" s="42" t="str">
        <f>IF(Table248[[#This Row],[Plug Depth
Plan
(m)]]=0,"",ABS(Table248[[#This Row],[Plug Depth
Plan
(m)]]-Table248[[#This Row],[MD
(m)]]))</f>
        <v/>
      </c>
      <c r="AB140" s="28">
        <v>9900</v>
      </c>
    </row>
    <row r="141" spans="1:28" ht="16" thickBot="1" x14ac:dyDescent="0.25">
      <c r="A141" s="60">
        <v>3300</v>
      </c>
      <c r="B141" s="18">
        <v>2777.0963598901099</v>
      </c>
      <c r="C141" s="2"/>
      <c r="D141" s="2"/>
      <c r="E141" s="2"/>
      <c r="F141" s="2"/>
      <c r="G141" s="2"/>
      <c r="H141" s="2"/>
      <c r="I141" s="2"/>
      <c r="J141" s="7"/>
      <c r="K141" s="3"/>
      <c r="L141" s="3"/>
      <c r="M141" s="3"/>
      <c r="N141" s="8"/>
      <c r="O141" s="50"/>
      <c r="P141" s="50"/>
      <c r="Q141" s="50"/>
      <c r="R141" s="50"/>
      <c r="S141" s="39"/>
      <c r="T141" s="39"/>
      <c r="U141" s="39"/>
      <c r="V141" s="39"/>
      <c r="W141" s="37" cm="1">
        <f t="array" ref="W141">CheckYellowFill(Table248[[#This Row],[MD
(m)]])</f>
        <v>0</v>
      </c>
      <c r="X141" s="41" cm="1">
        <f t="array" ref="X141">isfontcolorred(Table248[[#This Row],[MD
(m)]])</f>
        <v>1</v>
      </c>
      <c r="Y141" s="37">
        <f>IF(Table248[[#This Row],[Plug Depth
Plan
(m)]]&lt;&gt;0,1,0)</f>
        <v>0</v>
      </c>
      <c r="Z141" s="41"/>
      <c r="AA141" s="42" t="str">
        <f>IF(Table248[[#This Row],[Plug Depth
Plan
(m)]]=0,"",ABS(Table248[[#This Row],[Plug Depth
Plan
(m)]]-Table248[[#This Row],[MD
(m)]]))</f>
        <v/>
      </c>
      <c r="AB141" s="28">
        <v>9900</v>
      </c>
    </row>
    <row r="142" spans="1:28" ht="16" thickBot="1" x14ac:dyDescent="0.25">
      <c r="A142" s="2">
        <v>3300.2</v>
      </c>
      <c r="B142" s="1">
        <v>2777.1</v>
      </c>
      <c r="C142" s="2">
        <v>88.86</v>
      </c>
      <c r="D142" s="2">
        <v>356.04</v>
      </c>
      <c r="E142" s="2">
        <v>1.02</v>
      </c>
      <c r="F142" s="1">
        <v>638.73</v>
      </c>
      <c r="G142" s="1">
        <v>176.98</v>
      </c>
      <c r="H142" s="1">
        <v>-0.2</v>
      </c>
      <c r="I142" s="1">
        <v>-1</v>
      </c>
      <c r="J142" s="7">
        <v>3185.01</v>
      </c>
      <c r="K142" s="3">
        <v>2778.92</v>
      </c>
      <c r="L142" s="3">
        <v>89.777000000000001</v>
      </c>
      <c r="M142" s="3">
        <v>0.05</v>
      </c>
      <c r="N142" s="8">
        <v>0</v>
      </c>
      <c r="O142" s="50">
        <v>512.70000000000005</v>
      </c>
      <c r="P142" s="50">
        <v>188.27</v>
      </c>
      <c r="Q142" s="50">
        <v>0</v>
      </c>
      <c r="R142" s="50">
        <v>0</v>
      </c>
      <c r="S142" s="39">
        <v>2784.45</v>
      </c>
      <c r="T142" s="39">
        <f>ABS(Table248[[#This Row],[mTVD
Lower
Marker]]-Table248[[#This Row],[TVD
(m)]])</f>
        <v>7.3499999999999091</v>
      </c>
      <c r="U142" s="39">
        <v>2774.45</v>
      </c>
      <c r="V142" s="39">
        <f>ABS(Table248[[#This Row],[mTVD
Upper
Marker]]-Table248[[#This Row],[TVD
(m)]])</f>
        <v>2.6500000000000909</v>
      </c>
      <c r="W142" s="37" cm="1">
        <f t="array" ref="W142">CheckYellowFill(Table248[[#This Row],[MD
(m)]])</f>
        <v>0</v>
      </c>
      <c r="X142" s="41" cm="1">
        <f t="array" ref="X142">isfontcolorred(Table248[[#This Row],[MD
(m)]])</f>
        <v>0</v>
      </c>
      <c r="Y142" s="37">
        <f>IF(Table248[[#This Row],[Plug Depth
Plan
(m)]]&lt;&gt;0,1,0)</f>
        <v>0</v>
      </c>
      <c r="Z142" s="41"/>
      <c r="AA142" s="42" t="str">
        <f>IF(Table248[[#This Row],[Plug Depth
Plan
(m)]]=0,"",ABS(Table248[[#This Row],[Plug Depth
Plan
(m)]]-Table248[[#This Row],[MD
(m)]]))</f>
        <v/>
      </c>
    </row>
    <row r="143" spans="1:28" ht="16" thickBot="1" x14ac:dyDescent="0.25">
      <c r="A143" s="62">
        <v>3305</v>
      </c>
      <c r="B143" s="66">
        <v>2777.1678152997933</v>
      </c>
      <c r="C143" s="2"/>
      <c r="D143" s="2"/>
      <c r="E143" s="2"/>
      <c r="F143" s="2"/>
      <c r="G143" s="2"/>
      <c r="H143" s="2"/>
      <c r="I143" s="2"/>
      <c r="J143" s="7"/>
      <c r="K143" s="3"/>
      <c r="L143" s="3"/>
      <c r="M143" s="3"/>
      <c r="N143" s="8"/>
      <c r="O143" s="50"/>
      <c r="P143" s="50"/>
      <c r="Q143" s="50"/>
      <c r="R143" s="50"/>
      <c r="S143" s="39"/>
      <c r="T143" s="39"/>
      <c r="U143" s="39"/>
      <c r="V143" s="39"/>
      <c r="W143" s="37" cm="1">
        <f t="array" ref="W143">CheckYellowFill(Table248[[#This Row],[MD
(m)]])</f>
        <v>1</v>
      </c>
      <c r="X143" s="41" cm="1">
        <f t="array" ref="X143">isfontcolorred(Table248[[#This Row],[MD
(m)]])</f>
        <v>0</v>
      </c>
      <c r="Y143" s="37">
        <f>IF(Table248[[#This Row],[Plug Depth
Plan
(m)]]&lt;&gt;0,1,0)</f>
        <v>0</v>
      </c>
      <c r="Z143" s="41"/>
      <c r="AA143" s="42" t="str">
        <f>IF(Table248[[#This Row],[Plug Depth
Plan
(m)]]=0,"",ABS(Table248[[#This Row],[Plug Depth
Plan
(m)]]-Table248[[#This Row],[MD
(m)]]))</f>
        <v/>
      </c>
    </row>
    <row r="144" spans="1:28" ht="16" thickBot="1" x14ac:dyDescent="0.25">
      <c r="A144" s="61">
        <v>3312.5</v>
      </c>
      <c r="B144" s="18">
        <v>2777.2737767057201</v>
      </c>
      <c r="C144" s="2"/>
      <c r="D144" s="2"/>
      <c r="E144" s="2"/>
      <c r="F144" s="2"/>
      <c r="G144" s="2"/>
      <c r="H144" s="2"/>
      <c r="I144" s="2"/>
      <c r="J144" s="7"/>
      <c r="K144" s="3"/>
      <c r="L144" s="3"/>
      <c r="M144" s="3"/>
      <c r="N144" s="8"/>
      <c r="O144" s="50"/>
      <c r="P144" s="50"/>
      <c r="Q144" s="50"/>
      <c r="R144" s="50"/>
      <c r="S144" s="39"/>
      <c r="T144" s="39"/>
      <c r="U144" s="39"/>
      <c r="V144" s="39"/>
      <c r="W144" s="37" cm="1">
        <f t="array" ref="W144">CheckYellowFill(Table248[[#This Row],[MD
(m)]])</f>
        <v>0</v>
      </c>
      <c r="X144" s="41" cm="1">
        <f t="array" ref="X144">isfontcolorred(Table248[[#This Row],[MD
(m)]])</f>
        <v>1</v>
      </c>
      <c r="Y144" s="37">
        <f>IF(Table248[[#This Row],[Plug Depth
Plan
(m)]]&lt;&gt;0,1,0)</f>
        <v>0</v>
      </c>
      <c r="Z144" s="41"/>
      <c r="AA144" s="42" t="str">
        <f>IF(Table248[[#This Row],[Plug Depth
Plan
(m)]]=0,"",ABS(Table248[[#This Row],[Plug Depth
Plan
(m)]]-Table248[[#This Row],[MD
(m)]]))</f>
        <v/>
      </c>
      <c r="AB144" s="28">
        <v>9747</v>
      </c>
    </row>
    <row r="145" spans="1:28" ht="16" thickBot="1" x14ac:dyDescent="0.25">
      <c r="A145" s="60">
        <v>3325</v>
      </c>
      <c r="B145" s="19">
        <v>2777.4503790489321</v>
      </c>
      <c r="C145" s="2"/>
      <c r="D145" s="2"/>
      <c r="E145" s="2"/>
      <c r="F145" s="2"/>
      <c r="G145" s="2"/>
      <c r="H145" s="2"/>
      <c r="I145" s="2"/>
      <c r="J145" s="7"/>
      <c r="K145" s="3"/>
      <c r="L145" s="3"/>
      <c r="M145" s="3"/>
      <c r="N145" s="8"/>
      <c r="O145" s="50"/>
      <c r="P145" s="50"/>
      <c r="Q145" s="50"/>
      <c r="R145" s="50"/>
      <c r="S145" s="39"/>
      <c r="T145" s="39"/>
      <c r="U145" s="39"/>
      <c r="V145" s="39"/>
      <c r="W145" s="37" cm="1">
        <f t="array" ref="W145">CheckYellowFill(Table248[[#This Row],[MD
(m)]])</f>
        <v>0</v>
      </c>
      <c r="X145" s="41" cm="1">
        <f t="array" ref="X145">isfontcolorred(Table248[[#This Row],[MD
(m)]])</f>
        <v>1</v>
      </c>
      <c r="Y145" s="37">
        <f>IF(Table248[[#This Row],[Plug Depth
Plan
(m)]]&lt;&gt;0,1,0)</f>
        <v>0</v>
      </c>
      <c r="Z145" s="41"/>
      <c r="AA145" s="42" t="str">
        <f>IF(Table248[[#This Row],[Plug Depth
Plan
(m)]]=0,"",ABS(Table248[[#This Row],[Plug Depth
Plan
(m)]]-Table248[[#This Row],[MD
(m)]]))</f>
        <v/>
      </c>
      <c r="AB145" s="28">
        <v>9747</v>
      </c>
    </row>
    <row r="146" spans="1:28" ht="16" thickBot="1" x14ac:dyDescent="0.25">
      <c r="A146" s="2">
        <v>3329.22</v>
      </c>
      <c r="B146" s="1">
        <v>2777.51</v>
      </c>
      <c r="C146" s="2">
        <v>89.51</v>
      </c>
      <c r="D146" s="2">
        <v>359.93</v>
      </c>
      <c r="E146" s="2">
        <v>4.08</v>
      </c>
      <c r="F146" s="1">
        <v>667.73</v>
      </c>
      <c r="G146" s="1">
        <v>175.96</v>
      </c>
      <c r="H146" s="1">
        <v>0.67</v>
      </c>
      <c r="I146" s="1">
        <v>4.0199999999999996</v>
      </c>
      <c r="J146" s="7">
        <v>3215.01</v>
      </c>
      <c r="K146" s="3">
        <v>2779.04</v>
      </c>
      <c r="L146" s="3">
        <v>89.777000000000001</v>
      </c>
      <c r="M146" s="3">
        <v>0.05</v>
      </c>
      <c r="N146" s="8">
        <v>0</v>
      </c>
      <c r="O146" s="50">
        <v>542.70000000000005</v>
      </c>
      <c r="P146" s="50">
        <v>188.3</v>
      </c>
      <c r="Q146" s="50">
        <v>0</v>
      </c>
      <c r="R146" s="50">
        <v>0</v>
      </c>
      <c r="S146" s="39">
        <v>2784.86</v>
      </c>
      <c r="T146" s="39">
        <f>ABS(Table248[[#This Row],[mTVD
Lower
Marker]]-Table248[[#This Row],[TVD
(m)]])</f>
        <v>7.3499999999999091</v>
      </c>
      <c r="U146" s="39">
        <v>2774.86</v>
      </c>
      <c r="V146" s="39">
        <f>ABS(Table248[[#This Row],[mTVD
Upper
Marker]]-Table248[[#This Row],[TVD
(m)]])</f>
        <v>2.6500000000000909</v>
      </c>
      <c r="W146" s="37" cm="1">
        <f t="array" ref="W146">CheckYellowFill(Table248[[#This Row],[MD
(m)]])</f>
        <v>0</v>
      </c>
      <c r="X146" s="39" cm="1">
        <f t="array" ref="X146">isfontcolorred(Table248[[#This Row],[MD
(m)]])</f>
        <v>0</v>
      </c>
      <c r="Y146" s="37">
        <f>IF(Table248[[#This Row],[Plug Depth
Plan
(m)]]&lt;&gt;0,1,0)</f>
        <v>0</v>
      </c>
      <c r="Z146" s="39"/>
      <c r="AA146" s="40" t="str">
        <f>IF(Table248[[#This Row],[Plug Depth
Plan
(m)]]=0,"",ABS(Table248[[#This Row],[Plug Depth
Plan
(m)]]-Table248[[#This Row],[MD
(m)]]))</f>
        <v/>
      </c>
    </row>
    <row r="147" spans="1:28" ht="16" thickBot="1" x14ac:dyDescent="0.25">
      <c r="A147" s="60">
        <v>3337.5</v>
      </c>
      <c r="B147" s="19">
        <v>2777.6045467128033</v>
      </c>
      <c r="C147" s="2"/>
      <c r="D147" s="2"/>
      <c r="E147" s="2"/>
      <c r="F147" s="2"/>
      <c r="G147" s="2"/>
      <c r="H147" s="2"/>
      <c r="I147" s="2"/>
      <c r="J147" s="7"/>
      <c r="K147" s="3"/>
      <c r="L147" s="3"/>
      <c r="M147" s="3"/>
      <c r="N147" s="8"/>
      <c r="O147" s="50"/>
      <c r="P147" s="50"/>
      <c r="Q147" s="50"/>
      <c r="R147" s="50"/>
      <c r="S147" s="39"/>
      <c r="T147" s="39"/>
      <c r="U147" s="39"/>
      <c r="V147" s="39"/>
      <c r="W147" s="37" cm="1">
        <f t="array" ref="W147">CheckYellowFill(Table248[[#This Row],[MD
(m)]])</f>
        <v>0</v>
      </c>
      <c r="X147" s="39" cm="1">
        <f t="array" ref="X147">isfontcolorred(Table248[[#This Row],[MD
(m)]])</f>
        <v>1</v>
      </c>
      <c r="Y147" s="37">
        <f>IF(Table248[[#This Row],[Plug Depth
Plan
(m)]]&lt;&gt;0,1,0)</f>
        <v>0</v>
      </c>
      <c r="Z147" s="39"/>
      <c r="AA147" s="40" t="str">
        <f>IF(Table248[[#This Row],[Plug Depth
Plan
(m)]]=0,"",ABS(Table248[[#This Row],[Plug Depth
Plan
(m)]]-Table248[[#This Row],[MD
(m)]]))</f>
        <v/>
      </c>
      <c r="AB147" s="28">
        <v>9747</v>
      </c>
    </row>
    <row r="148" spans="1:28" ht="16" thickBot="1" x14ac:dyDescent="0.25">
      <c r="A148" s="60">
        <v>3350</v>
      </c>
      <c r="B148" s="18">
        <v>2777.747280276817</v>
      </c>
      <c r="C148" s="2"/>
      <c r="D148" s="2"/>
      <c r="E148" s="2"/>
      <c r="F148" s="2"/>
      <c r="G148" s="2"/>
      <c r="H148" s="2"/>
      <c r="I148" s="2"/>
      <c r="J148" s="7"/>
      <c r="K148" s="3"/>
      <c r="L148" s="3"/>
      <c r="M148" s="3"/>
      <c r="N148" s="8"/>
      <c r="O148" s="50"/>
      <c r="P148" s="50"/>
      <c r="Q148" s="50"/>
      <c r="R148" s="50"/>
      <c r="S148" s="39"/>
      <c r="T148" s="39"/>
      <c r="U148" s="39"/>
      <c r="V148" s="39"/>
      <c r="W148" s="37" cm="1">
        <f t="array" ref="W148">CheckYellowFill(Table248[[#This Row],[MD
(m)]])</f>
        <v>0</v>
      </c>
      <c r="X148" s="39" cm="1">
        <f t="array" ref="X148">isfontcolorred(Table248[[#This Row],[MD
(m)]])</f>
        <v>1</v>
      </c>
      <c r="Y148" s="37">
        <f>IF(Table248[[#This Row],[Plug Depth
Plan
(m)]]&lt;&gt;0,1,0)</f>
        <v>0</v>
      </c>
      <c r="Z148" s="39"/>
      <c r="AA148" s="40" t="str">
        <f>IF(Table248[[#This Row],[Plug Depth
Plan
(m)]]=0,"",ABS(Table248[[#This Row],[Plug Depth
Plan
(m)]]-Table248[[#This Row],[MD
(m)]]))</f>
        <v/>
      </c>
      <c r="AB148" s="28">
        <v>9747</v>
      </c>
    </row>
    <row r="149" spans="1:28" ht="16" thickBot="1" x14ac:dyDescent="0.25">
      <c r="A149" s="2">
        <v>3358.12</v>
      </c>
      <c r="B149" s="1">
        <v>2777.84</v>
      </c>
      <c r="C149" s="2">
        <v>89.2</v>
      </c>
      <c r="D149" s="2">
        <v>0.48</v>
      </c>
      <c r="E149" s="2">
        <v>0.66</v>
      </c>
      <c r="F149" s="1">
        <v>696.62</v>
      </c>
      <c r="G149" s="1">
        <v>176.07</v>
      </c>
      <c r="H149" s="1">
        <v>-0.32</v>
      </c>
      <c r="I149" s="1">
        <v>0.56999999999999995</v>
      </c>
      <c r="J149" s="7">
        <v>3245.01</v>
      </c>
      <c r="K149" s="3">
        <v>2779.16</v>
      </c>
      <c r="L149" s="3">
        <v>89.777000000000001</v>
      </c>
      <c r="M149" s="3">
        <v>0.05</v>
      </c>
      <c r="N149" s="8">
        <v>0</v>
      </c>
      <c r="O149" s="50">
        <v>572.70000000000005</v>
      </c>
      <c r="P149" s="50">
        <v>188.32</v>
      </c>
      <c r="Q149" s="50">
        <v>0</v>
      </c>
      <c r="R149" s="50">
        <v>0</v>
      </c>
      <c r="S149" s="39">
        <v>2785.26</v>
      </c>
      <c r="T149" s="39">
        <f>ABS(Table248[[#This Row],[mTVD
Lower
Marker]]-Table248[[#This Row],[TVD
(m)]])</f>
        <v>7.4200000000000728</v>
      </c>
      <c r="U149" s="39">
        <v>2775.26</v>
      </c>
      <c r="V149" s="39">
        <f>ABS(Table248[[#This Row],[mTVD
Upper
Marker]]-Table248[[#This Row],[TVD
(m)]])</f>
        <v>2.5799999999999272</v>
      </c>
      <c r="W149" s="37" cm="1">
        <f t="array" ref="W149">CheckYellowFill(Table248[[#This Row],[MD
(m)]])</f>
        <v>0</v>
      </c>
      <c r="X149" s="41" cm="1">
        <f t="array" ref="X149">isfontcolorred(Table248[[#This Row],[MD
(m)]])</f>
        <v>0</v>
      </c>
      <c r="Y149" s="37">
        <f>IF(Table248[[#This Row],[Plug Depth
Plan
(m)]]&lt;&gt;0,1,0)</f>
        <v>0</v>
      </c>
      <c r="Z149" s="41"/>
      <c r="AA149" s="42" t="str">
        <f>IF(Table248[[#This Row],[Plug Depth
Plan
(m)]]=0,"",ABS(Table248[[#This Row],[Plug Depth
Plan
(m)]]-Table248[[#This Row],[MD
(m)]]))</f>
        <v/>
      </c>
    </row>
    <row r="150" spans="1:28" ht="16" thickBot="1" x14ac:dyDescent="0.25">
      <c r="A150" s="61">
        <v>3362.5</v>
      </c>
      <c r="B150" s="18">
        <v>2777.9186192613051</v>
      </c>
      <c r="C150" s="2"/>
      <c r="D150" s="2"/>
      <c r="E150" s="2"/>
      <c r="F150" s="2"/>
      <c r="G150" s="2"/>
      <c r="H150" s="2"/>
      <c r="I150" s="2"/>
      <c r="J150" s="7"/>
      <c r="K150" s="3"/>
      <c r="L150" s="3"/>
      <c r="M150" s="3"/>
      <c r="N150" s="8"/>
      <c r="O150" s="50"/>
      <c r="P150" s="50"/>
      <c r="Q150" s="50"/>
      <c r="R150" s="50"/>
      <c r="S150" s="39"/>
      <c r="T150" s="39"/>
      <c r="U150" s="39"/>
      <c r="V150" s="39"/>
      <c r="W150" s="37" cm="1">
        <f t="array" ref="W150">CheckYellowFill(Table248[[#This Row],[MD
(m)]])</f>
        <v>0</v>
      </c>
      <c r="X150" s="41" cm="1">
        <f t="array" ref="X150">isfontcolorred(Table248[[#This Row],[MD
(m)]])</f>
        <v>1</v>
      </c>
      <c r="Y150" s="37">
        <f>IF(Table248[[#This Row],[Plug Depth
Plan
(m)]]&lt;&gt;0,1,0)</f>
        <v>0</v>
      </c>
      <c r="Z150" s="41"/>
      <c r="AA150" s="42" t="str">
        <f>IF(Table248[[#This Row],[Plug Depth
Plan
(m)]]=0,"",ABS(Table248[[#This Row],[Plug Depth
Plan
(m)]]-Table248[[#This Row],[MD
(m)]]))</f>
        <v/>
      </c>
      <c r="AB150" s="28">
        <v>8743</v>
      </c>
    </row>
    <row r="151" spans="1:28" ht="16" thickBot="1" x14ac:dyDescent="0.25">
      <c r="A151" s="60">
        <v>3375</v>
      </c>
      <c r="B151" s="18">
        <v>2778.1429892992755</v>
      </c>
      <c r="C151" s="2"/>
      <c r="D151" s="2"/>
      <c r="E151" s="2"/>
      <c r="F151" s="2"/>
      <c r="G151" s="2"/>
      <c r="H151" s="2"/>
      <c r="I151" s="2"/>
      <c r="J151" s="7"/>
      <c r="K151" s="3"/>
      <c r="L151" s="3"/>
      <c r="M151" s="3"/>
      <c r="N151" s="8"/>
      <c r="O151" s="50"/>
      <c r="P151" s="50"/>
      <c r="Q151" s="50"/>
      <c r="R151" s="50"/>
      <c r="S151" s="39"/>
      <c r="T151" s="39"/>
      <c r="U151" s="39"/>
      <c r="V151" s="39"/>
      <c r="W151" s="37" cm="1">
        <f t="array" ref="W151">CheckYellowFill(Table248[[#This Row],[MD
(m)]])</f>
        <v>0</v>
      </c>
      <c r="X151" s="41" cm="1">
        <f t="array" ref="X151">isfontcolorred(Table248[[#This Row],[MD
(m)]])</f>
        <v>1</v>
      </c>
      <c r="Y151" s="37">
        <f>IF(Table248[[#This Row],[Plug Depth
Plan
(m)]]&lt;&gt;0,1,0)</f>
        <v>0</v>
      </c>
      <c r="Z151" s="41"/>
      <c r="AA151" s="42" t="str">
        <f>IF(Table248[[#This Row],[Plug Depth
Plan
(m)]]=0,"",ABS(Table248[[#This Row],[Plug Depth
Plan
(m)]]-Table248[[#This Row],[MD
(m)]]))</f>
        <v/>
      </c>
      <c r="AB151" s="28">
        <v>8743</v>
      </c>
    </row>
    <row r="152" spans="1:28" ht="16" thickBot="1" x14ac:dyDescent="0.25">
      <c r="A152" s="2">
        <v>3387.09</v>
      </c>
      <c r="B152" s="1">
        <v>2778.36</v>
      </c>
      <c r="C152" s="2">
        <v>88.71</v>
      </c>
      <c r="D152" s="2">
        <v>1.57</v>
      </c>
      <c r="E152" s="2">
        <v>1.24</v>
      </c>
      <c r="F152" s="1">
        <v>725.58</v>
      </c>
      <c r="G152" s="1">
        <v>176.59</v>
      </c>
      <c r="H152" s="1">
        <v>-0.51</v>
      </c>
      <c r="I152" s="1">
        <v>1.1299999999999999</v>
      </c>
      <c r="J152" s="7">
        <v>3275.01</v>
      </c>
      <c r="K152" s="3">
        <v>2779.28</v>
      </c>
      <c r="L152" s="3">
        <v>89.777000000000001</v>
      </c>
      <c r="M152" s="3">
        <v>0.05</v>
      </c>
      <c r="N152" s="8">
        <v>0</v>
      </c>
      <c r="O152" s="50">
        <v>602.70000000000005</v>
      </c>
      <c r="P152" s="50">
        <v>188.35</v>
      </c>
      <c r="Q152" s="50">
        <v>0</v>
      </c>
      <c r="R152" s="50">
        <v>0</v>
      </c>
      <c r="S152" s="39">
        <v>2785.66</v>
      </c>
      <c r="T152" s="39">
        <f>ABS(Table248[[#This Row],[mTVD
Lower
Marker]]-Table248[[#This Row],[TVD
(m)]])</f>
        <v>7.2999999999997272</v>
      </c>
      <c r="U152" s="39">
        <v>2775.66</v>
      </c>
      <c r="V152" s="39">
        <f>ABS(Table248[[#This Row],[mTVD
Upper
Marker]]-Table248[[#This Row],[TVD
(m)]])</f>
        <v>2.7000000000002728</v>
      </c>
      <c r="W152" s="37" cm="1">
        <f t="array" ref="W152">CheckYellowFill(Table248[[#This Row],[MD
(m)]])</f>
        <v>0</v>
      </c>
      <c r="X152" s="41" cm="1">
        <f t="array" ref="X152">isfontcolorred(Table248[[#This Row],[MD
(m)]])</f>
        <v>0</v>
      </c>
      <c r="Y152" s="37">
        <f>IF(Table248[[#This Row],[Plug Depth
Plan
(m)]]&lt;&gt;0,1,0)</f>
        <v>0</v>
      </c>
      <c r="Z152" s="41"/>
      <c r="AA152" s="42" t="str">
        <f>IF(Table248[[#This Row],[Plug Depth
Plan
(m)]]=0,"",ABS(Table248[[#This Row],[Plug Depth
Plan
(m)]]-Table248[[#This Row],[MD
(m)]]))</f>
        <v/>
      </c>
    </row>
    <row r="153" spans="1:28" ht="16" thickBot="1" x14ac:dyDescent="0.25">
      <c r="A153" s="60">
        <v>3387.5</v>
      </c>
      <c r="B153" s="19">
        <v>2778.3636619718309</v>
      </c>
      <c r="C153" s="2"/>
      <c r="D153" s="2"/>
      <c r="E153" s="2"/>
      <c r="F153" s="2"/>
      <c r="G153" s="2"/>
      <c r="H153" s="2"/>
      <c r="I153" s="2"/>
      <c r="J153" s="7"/>
      <c r="K153" s="3"/>
      <c r="L153" s="3"/>
      <c r="M153" s="3"/>
      <c r="N153" s="8"/>
      <c r="O153" s="50"/>
      <c r="P153" s="50"/>
      <c r="Q153" s="50"/>
      <c r="R153" s="50"/>
      <c r="S153" s="39"/>
      <c r="T153" s="39"/>
      <c r="U153" s="39"/>
      <c r="V153" s="39"/>
      <c r="W153" s="37" cm="1">
        <f t="array" ref="W153">CheckYellowFill(Table248[[#This Row],[MD
(m)]])</f>
        <v>0</v>
      </c>
      <c r="X153" s="41" cm="1">
        <f t="array" ref="X153">isfontcolorred(Table248[[#This Row],[MD
(m)]])</f>
        <v>1</v>
      </c>
      <c r="Y153" s="37">
        <f>IF(Table248[[#This Row],[Plug Depth
Plan
(m)]]&lt;&gt;0,1,0)</f>
        <v>0</v>
      </c>
      <c r="Z153" s="41"/>
      <c r="AA153" s="42" t="str">
        <f>IF(Table248[[#This Row],[Plug Depth
Plan
(m)]]=0,"",ABS(Table248[[#This Row],[Plug Depth
Plan
(m)]]-Table248[[#This Row],[MD
(m)]]))</f>
        <v/>
      </c>
      <c r="AB153" s="28">
        <v>8743</v>
      </c>
    </row>
    <row r="154" spans="1:28" ht="16" thickBot="1" x14ac:dyDescent="0.25">
      <c r="A154" s="61">
        <v>3400</v>
      </c>
      <c r="B154" s="18">
        <v>2778.4753074544828</v>
      </c>
      <c r="C154" s="2"/>
      <c r="D154" s="2"/>
      <c r="E154" s="2"/>
      <c r="F154" s="2"/>
      <c r="G154" s="2"/>
      <c r="H154" s="2"/>
      <c r="I154" s="2"/>
      <c r="J154" s="7"/>
      <c r="K154" s="3"/>
      <c r="L154" s="3"/>
      <c r="M154" s="3"/>
      <c r="N154" s="8"/>
      <c r="O154" s="50"/>
      <c r="P154" s="50"/>
      <c r="Q154" s="50"/>
      <c r="R154" s="50"/>
      <c r="S154" s="39"/>
      <c r="T154" s="39"/>
      <c r="U154" s="39"/>
      <c r="V154" s="39"/>
      <c r="W154" s="37" cm="1">
        <f t="array" ref="W154">CheckYellowFill(Table248[[#This Row],[MD
(m)]])</f>
        <v>0</v>
      </c>
      <c r="X154" s="41" cm="1">
        <f t="array" ref="X154">isfontcolorred(Table248[[#This Row],[MD
(m)]])</f>
        <v>1</v>
      </c>
      <c r="Y154" s="37">
        <f>IF(Table248[[#This Row],[Plug Depth
Plan
(m)]]&lt;&gt;0,1,0)</f>
        <v>0</v>
      </c>
      <c r="Z154" s="41"/>
      <c r="AA154" s="42" t="str">
        <f>IF(Table248[[#This Row],[Plug Depth
Plan
(m)]]=0,"",ABS(Table248[[#This Row],[Plug Depth
Plan
(m)]]-Table248[[#This Row],[MD
(m)]]))</f>
        <v/>
      </c>
      <c r="AB154" s="28">
        <v>8743</v>
      </c>
    </row>
    <row r="155" spans="1:28" ht="16" thickBot="1" x14ac:dyDescent="0.25">
      <c r="A155" s="62">
        <v>3405</v>
      </c>
      <c r="B155" s="66">
        <v>2778.5199656475438</v>
      </c>
      <c r="C155" s="2"/>
      <c r="D155" s="2"/>
      <c r="E155" s="2"/>
      <c r="F155" s="2"/>
      <c r="G155" s="2"/>
      <c r="H155" s="2"/>
      <c r="I155" s="2"/>
      <c r="J155" s="7"/>
      <c r="K155" s="3"/>
      <c r="L155" s="3"/>
      <c r="M155" s="3"/>
      <c r="N155" s="8"/>
      <c r="O155" s="50"/>
      <c r="P155" s="50"/>
      <c r="Q155" s="50"/>
      <c r="R155" s="50"/>
      <c r="S155" s="39"/>
      <c r="T155" s="39"/>
      <c r="U155" s="39"/>
      <c r="V155" s="39"/>
      <c r="W155" s="37" cm="1">
        <f t="array" ref="W155">CheckYellowFill(Table248[[#This Row],[MD
(m)]])</f>
        <v>1</v>
      </c>
      <c r="X155" s="41" cm="1">
        <f t="array" ref="X155">isfontcolorred(Table248[[#This Row],[MD
(m)]])</f>
        <v>0</v>
      </c>
      <c r="Y155" s="37">
        <f>IF(Table248[[#This Row],[Plug Depth
Plan
(m)]]&lt;&gt;0,1,0)</f>
        <v>1</v>
      </c>
      <c r="Z155" s="41">
        <v>3459</v>
      </c>
      <c r="AA155" s="42">
        <f>IF(Table248[[#This Row],[Plug Depth
Plan
(m)]]=0,"",ABS(Table248[[#This Row],[Plug Depth
Plan
(m)]]-Table248[[#This Row],[MD
(m)]]))</f>
        <v>54</v>
      </c>
    </row>
    <row r="156" spans="1:28" ht="16" thickBot="1" x14ac:dyDescent="0.25">
      <c r="A156" s="2">
        <v>3416.2</v>
      </c>
      <c r="B156" s="1">
        <v>2778.62</v>
      </c>
      <c r="C156" s="2">
        <v>90.28</v>
      </c>
      <c r="D156" s="2">
        <v>3.95</v>
      </c>
      <c r="E156" s="2">
        <v>2.94</v>
      </c>
      <c r="F156" s="1">
        <v>754.66</v>
      </c>
      <c r="G156" s="1">
        <v>177.99</v>
      </c>
      <c r="H156" s="1">
        <v>1.62</v>
      </c>
      <c r="I156" s="1">
        <v>2.4500000000000002</v>
      </c>
      <c r="J156" s="7">
        <v>3305.01</v>
      </c>
      <c r="K156" s="3">
        <v>2779.39</v>
      </c>
      <c r="L156" s="3">
        <v>89.777000000000001</v>
      </c>
      <c r="M156" s="3">
        <v>0.05</v>
      </c>
      <c r="N156" s="8">
        <v>0</v>
      </c>
      <c r="O156" s="50">
        <v>632.70000000000005</v>
      </c>
      <c r="P156" s="50">
        <v>188.37</v>
      </c>
      <c r="Q156" s="50">
        <v>0</v>
      </c>
      <c r="R156" s="50">
        <v>0</v>
      </c>
      <c r="S156" s="39">
        <v>2786.07</v>
      </c>
      <c r="T156" s="39">
        <f>ABS(Table248[[#This Row],[mTVD
Lower
Marker]]-Table248[[#This Row],[TVD
(m)]])</f>
        <v>7.4500000000002728</v>
      </c>
      <c r="U156" s="39">
        <v>2776.07</v>
      </c>
      <c r="V156" s="39">
        <f>ABS(Table248[[#This Row],[mTVD
Upper
Marker]]-Table248[[#This Row],[TVD
(m)]])</f>
        <v>2.5499999999997272</v>
      </c>
      <c r="W156" s="37" cm="1">
        <f t="array" ref="W156">CheckYellowFill(Table248[[#This Row],[MD
(m)]])</f>
        <v>0</v>
      </c>
      <c r="X156" s="41" cm="1">
        <f t="array" ref="X156">isfontcolorred(Table248[[#This Row],[MD
(m)]])</f>
        <v>0</v>
      </c>
      <c r="Y156" s="37">
        <v>1</v>
      </c>
      <c r="Z156" s="39"/>
      <c r="AA156" s="42" t="str">
        <f>IF(Table248[[#This Row],[Plug Depth
Plan
(m)]]=0,"",ABS(Table248[[#This Row],[Plug Depth
Plan
(m)]]-Table248[[#This Row],[MD
(m)]]))</f>
        <v/>
      </c>
    </row>
    <row r="157" spans="1:28" ht="16" thickBot="1" x14ac:dyDescent="0.25">
      <c r="A157" s="2">
        <v>3444.81</v>
      </c>
      <c r="B157" s="1">
        <v>2778.47</v>
      </c>
      <c r="C157" s="2">
        <v>90.31</v>
      </c>
      <c r="D157" s="2">
        <v>2.35</v>
      </c>
      <c r="E157" s="2">
        <v>1.68</v>
      </c>
      <c r="F157" s="1">
        <v>783.22</v>
      </c>
      <c r="G157" s="1">
        <v>179.56</v>
      </c>
      <c r="H157" s="1">
        <v>0.03</v>
      </c>
      <c r="I157" s="1">
        <v>-1.68</v>
      </c>
      <c r="J157" s="7">
        <v>3335.01</v>
      </c>
      <c r="K157" s="3">
        <v>2779.51</v>
      </c>
      <c r="L157" s="3">
        <v>89.777000000000001</v>
      </c>
      <c r="M157" s="3">
        <v>0.05</v>
      </c>
      <c r="N157" s="8">
        <v>0</v>
      </c>
      <c r="O157" s="50">
        <v>662.7</v>
      </c>
      <c r="P157" s="50">
        <v>188.4</v>
      </c>
      <c r="Q157" s="50">
        <v>0</v>
      </c>
      <c r="R157" s="50">
        <v>0</v>
      </c>
      <c r="S157" s="39">
        <v>2785.99</v>
      </c>
      <c r="T157" s="39">
        <f>ABS(Table248[[#This Row],[mTVD
Lower
Marker]]-Table248[[#This Row],[TVD
(m)]])</f>
        <v>7.5199999999999818</v>
      </c>
      <c r="U157" s="39">
        <v>2775.99</v>
      </c>
      <c r="V157" s="39">
        <f>ABS(Table248[[#This Row],[mTVD
Upper
Marker]]-Table248[[#This Row],[TVD
(m)]])</f>
        <v>2.4800000000000182</v>
      </c>
      <c r="W157" s="37" cm="1">
        <f t="array" ref="W157">CheckYellowFill(Table248[[#This Row],[MD
(m)]])</f>
        <v>0</v>
      </c>
      <c r="X157" s="41" cm="1">
        <f t="array" ref="X157">isfontcolorred(Table248[[#This Row],[MD
(m)]])</f>
        <v>0</v>
      </c>
      <c r="Y157" s="37">
        <v>1</v>
      </c>
      <c r="Z157" s="41"/>
      <c r="AA157" s="42" t="str">
        <f>IF(Table248[[#This Row],[Plug Depth
Plan
(m)]]=0,"",ABS(Table248[[#This Row],[Plug Depth
Plan
(m)]]-Table248[[#This Row],[MD
(m)]]))</f>
        <v/>
      </c>
    </row>
    <row r="158" spans="1:28" ht="16" thickBot="1" x14ac:dyDescent="0.25">
      <c r="A158" s="60">
        <v>3459</v>
      </c>
      <c r="B158" s="18">
        <v>2778.392432524769</v>
      </c>
      <c r="C158" s="2"/>
      <c r="D158" s="2"/>
      <c r="E158" s="2"/>
      <c r="F158" s="2"/>
      <c r="G158" s="2"/>
      <c r="H158" s="2"/>
      <c r="I158" s="2"/>
      <c r="J158" s="7"/>
      <c r="K158" s="3"/>
      <c r="L158" s="3"/>
      <c r="M158" s="3"/>
      <c r="N158" s="8"/>
      <c r="O158" s="50"/>
      <c r="P158" s="50"/>
      <c r="Q158" s="50"/>
      <c r="R158" s="50"/>
      <c r="S158" s="39"/>
      <c r="T158" s="39"/>
      <c r="U158" s="39"/>
      <c r="V158" s="39"/>
      <c r="W158" s="37" cm="1">
        <f t="array" ref="W158">CheckYellowFill(Table248[[#This Row],[MD
(m)]])</f>
        <v>0</v>
      </c>
      <c r="X158" s="41" cm="1">
        <f t="array" ref="X158">isfontcolorred(Table248[[#This Row],[MD
(m)]])</f>
        <v>1</v>
      </c>
      <c r="Y158" s="37">
        <v>1</v>
      </c>
      <c r="Z158" s="41"/>
      <c r="AA158" s="42" t="str">
        <f>IF(Table248[[#This Row],[Plug Depth
Plan
(m)]]=0,"",ABS(Table248[[#This Row],[Plug Depth
Plan
(m)]]-Table248[[#This Row],[MD
(m)]]))</f>
        <v/>
      </c>
      <c r="AB158" s="28">
        <v>10549</v>
      </c>
    </row>
    <row r="159" spans="1:28" ht="16" thickBot="1" x14ac:dyDescent="0.25">
      <c r="A159" s="61">
        <v>3466.5</v>
      </c>
      <c r="B159" s="18">
        <v>2778.3514349162965</v>
      </c>
      <c r="C159" s="2"/>
      <c r="D159" s="2"/>
      <c r="E159" s="2"/>
      <c r="F159" s="2"/>
      <c r="G159" s="2"/>
      <c r="H159" s="2"/>
      <c r="I159" s="2"/>
      <c r="J159" s="7"/>
      <c r="K159" s="3"/>
      <c r="L159" s="3"/>
      <c r="M159" s="3"/>
      <c r="N159" s="8"/>
      <c r="O159" s="50"/>
      <c r="P159" s="50"/>
      <c r="Q159" s="50"/>
      <c r="R159" s="50"/>
      <c r="S159" s="39"/>
      <c r="T159" s="39"/>
      <c r="U159" s="39"/>
      <c r="V159" s="39"/>
      <c r="W159" s="37" cm="1">
        <f t="array" ref="W159">CheckYellowFill(Table248[[#This Row],[MD
(m)]])</f>
        <v>0</v>
      </c>
      <c r="X159" s="41" cm="1">
        <f t="array" ref="X159">isfontcolorred(Table248[[#This Row],[MD
(m)]])</f>
        <v>1</v>
      </c>
      <c r="Y159" s="37">
        <f>IF(Table248[[#This Row],[Plug Depth
Plan
(m)]]&lt;&gt;0,1,0)</f>
        <v>0</v>
      </c>
      <c r="Z159" s="41"/>
      <c r="AA159" s="42" t="str">
        <f>IF(Table248[[#This Row],[Plug Depth
Plan
(m)]]=0,"",ABS(Table248[[#This Row],[Plug Depth
Plan
(m)]]-Table248[[#This Row],[MD
(m)]]))</f>
        <v/>
      </c>
      <c r="AB159" s="28">
        <v>10549</v>
      </c>
    </row>
    <row r="160" spans="1:28" ht="16" thickBot="1" x14ac:dyDescent="0.25">
      <c r="A160" s="2">
        <v>3474.08</v>
      </c>
      <c r="B160" s="1">
        <v>2778.31</v>
      </c>
      <c r="C160" s="2">
        <v>90.34</v>
      </c>
      <c r="D160" s="2">
        <v>358.23</v>
      </c>
      <c r="E160" s="2">
        <v>4.22</v>
      </c>
      <c r="F160" s="1">
        <v>812.48</v>
      </c>
      <c r="G160" s="1">
        <v>179.71</v>
      </c>
      <c r="H160" s="1">
        <v>0.03</v>
      </c>
      <c r="I160" s="1">
        <v>-4.22</v>
      </c>
      <c r="J160" s="7">
        <v>3365.01</v>
      </c>
      <c r="K160" s="3">
        <v>2779.63</v>
      </c>
      <c r="L160" s="3">
        <v>89.777000000000001</v>
      </c>
      <c r="M160" s="3">
        <v>0.05</v>
      </c>
      <c r="N160" s="8">
        <v>0</v>
      </c>
      <c r="O160" s="50">
        <v>692.7</v>
      </c>
      <c r="P160" s="50">
        <v>188.43</v>
      </c>
      <c r="Q160" s="50">
        <v>0</v>
      </c>
      <c r="R160" s="50">
        <v>0</v>
      </c>
      <c r="S160" s="39">
        <v>2785.67</v>
      </c>
      <c r="T160" s="39">
        <f>ABS(Table248[[#This Row],[mTVD
Lower
Marker]]-Table248[[#This Row],[TVD
(m)]])</f>
        <v>7.3600000000001273</v>
      </c>
      <c r="U160" s="39">
        <v>2775.67</v>
      </c>
      <c r="V160" s="39">
        <f>ABS(Table248[[#This Row],[mTVD
Upper
Marker]]-Table248[[#This Row],[TVD
(m)]])</f>
        <v>2.6399999999998727</v>
      </c>
      <c r="W160" s="37" cm="1">
        <f t="array" ref="W160">CheckYellowFill(Table248[[#This Row],[MD
(m)]])</f>
        <v>0</v>
      </c>
      <c r="X160" s="41" cm="1">
        <f t="array" ref="X160">isfontcolorred(Table248[[#This Row],[MD
(m)]])</f>
        <v>0</v>
      </c>
      <c r="Y160" s="37">
        <f>IF(Table248[[#This Row],[Plug Depth
Plan
(m)]]&lt;&gt;0,1,0)</f>
        <v>0</v>
      </c>
      <c r="Z160" s="41"/>
      <c r="AA160" s="42" t="str">
        <f>IF(Table248[[#This Row],[Plug Depth
Plan
(m)]]=0,"",ABS(Table248[[#This Row],[Plug Depth
Plan
(m)]]-Table248[[#This Row],[MD
(m)]]))</f>
        <v/>
      </c>
    </row>
    <row r="161" spans="1:28" ht="16" thickBot="1" x14ac:dyDescent="0.25">
      <c r="A161" s="61">
        <v>3479</v>
      </c>
      <c r="B161" s="18">
        <v>2778.2861990324809</v>
      </c>
      <c r="C161" s="2"/>
      <c r="D161" s="2"/>
      <c r="E161" s="2"/>
      <c r="F161" s="2"/>
      <c r="G161" s="2"/>
      <c r="H161" s="2"/>
      <c r="I161" s="2"/>
      <c r="J161" s="7"/>
      <c r="K161" s="3"/>
      <c r="L161" s="3"/>
      <c r="M161" s="3"/>
      <c r="N161" s="8"/>
      <c r="O161" s="50"/>
      <c r="P161" s="50"/>
      <c r="Q161" s="50"/>
      <c r="R161" s="50"/>
      <c r="S161" s="39"/>
      <c r="T161" s="39"/>
      <c r="U161" s="39"/>
      <c r="V161" s="39"/>
      <c r="W161" s="37" cm="1">
        <f t="array" ref="W161">CheckYellowFill(Table248[[#This Row],[MD
(m)]])</f>
        <v>0</v>
      </c>
      <c r="X161" s="41" cm="1">
        <f t="array" ref="X161">isfontcolorred(Table248[[#This Row],[MD
(m)]])</f>
        <v>1</v>
      </c>
      <c r="Y161" s="37">
        <f>IF(Table248[[#This Row],[Plug Depth
Plan
(m)]]&lt;&gt;0,1,0)</f>
        <v>0</v>
      </c>
      <c r="Z161" s="41"/>
      <c r="AA161" s="42" t="str">
        <f>IF(Table248[[#This Row],[Plug Depth
Plan
(m)]]=0,"",ABS(Table248[[#This Row],[Plug Depth
Plan
(m)]]-Table248[[#This Row],[MD
(m)]]))</f>
        <v/>
      </c>
      <c r="AB161" s="28">
        <v>10549</v>
      </c>
    </row>
    <row r="162" spans="1:28" ht="16" thickBot="1" x14ac:dyDescent="0.25">
      <c r="A162" s="61">
        <v>3491.5</v>
      </c>
      <c r="B162" s="18">
        <v>2778.2257290946782</v>
      </c>
      <c r="C162" s="2"/>
      <c r="D162" s="2"/>
      <c r="E162" s="2"/>
      <c r="F162" s="2"/>
      <c r="G162" s="2"/>
      <c r="H162" s="2"/>
      <c r="I162" s="2"/>
      <c r="J162" s="7"/>
      <c r="K162" s="3"/>
      <c r="L162" s="3"/>
      <c r="M162" s="3"/>
      <c r="N162" s="8"/>
      <c r="O162" s="50"/>
      <c r="P162" s="50"/>
      <c r="Q162" s="50"/>
      <c r="R162" s="50"/>
      <c r="S162" s="39"/>
      <c r="T162" s="39"/>
      <c r="U162" s="39"/>
      <c r="V162" s="39"/>
      <c r="W162" s="37" cm="1">
        <f t="array" ref="W162">CheckYellowFill(Table248[[#This Row],[MD
(m)]])</f>
        <v>0</v>
      </c>
      <c r="X162" s="41" cm="1">
        <f t="array" ref="X162">isfontcolorred(Table248[[#This Row],[MD
(m)]])</f>
        <v>1</v>
      </c>
      <c r="Y162" s="37">
        <f>IF(Table248[[#This Row],[Plug Depth
Plan
(m)]]&lt;&gt;0,1,0)</f>
        <v>0</v>
      </c>
      <c r="Z162" s="41"/>
      <c r="AA162" s="42" t="str">
        <f>IF(Table248[[#This Row],[Plug Depth
Plan
(m)]]=0,"",ABS(Table248[[#This Row],[Plug Depth
Plan
(m)]]-Table248[[#This Row],[MD
(m)]]))</f>
        <v/>
      </c>
      <c r="AB162" s="28">
        <v>10549</v>
      </c>
    </row>
    <row r="163" spans="1:28" ht="16" thickBot="1" x14ac:dyDescent="0.25">
      <c r="A163" s="2">
        <v>3503.02</v>
      </c>
      <c r="B163" s="1">
        <v>2778.17</v>
      </c>
      <c r="C163" s="2">
        <v>90.22</v>
      </c>
      <c r="D163" s="2">
        <v>357.75</v>
      </c>
      <c r="E163" s="2">
        <v>0.51</v>
      </c>
      <c r="F163" s="1">
        <v>841.41</v>
      </c>
      <c r="G163" s="1">
        <v>178.69</v>
      </c>
      <c r="H163" s="1">
        <v>-0.12</v>
      </c>
      <c r="I163" s="1">
        <v>-0.5</v>
      </c>
      <c r="J163" s="7">
        <v>3395.01</v>
      </c>
      <c r="K163" s="3">
        <v>2779.74</v>
      </c>
      <c r="L163" s="3">
        <v>89.777000000000001</v>
      </c>
      <c r="M163" s="3">
        <v>0.05</v>
      </c>
      <c r="N163" s="8">
        <v>0</v>
      </c>
      <c r="O163" s="50">
        <v>722.7</v>
      </c>
      <c r="P163" s="50">
        <v>188.45</v>
      </c>
      <c r="Q163" s="50">
        <v>0</v>
      </c>
      <c r="R163" s="50">
        <v>0</v>
      </c>
      <c r="S163" s="39">
        <v>2785.85</v>
      </c>
      <c r="T163" s="39">
        <f>ABS(Table248[[#This Row],[mTVD
Lower
Marker]]-Table248[[#This Row],[TVD
(m)]])</f>
        <v>7.6799999999998363</v>
      </c>
      <c r="U163" s="39">
        <v>2775.85</v>
      </c>
      <c r="V163" s="39">
        <f>ABS(Table248[[#This Row],[mTVD
Upper
Marker]]-Table248[[#This Row],[TVD
(m)]])</f>
        <v>2.3200000000001637</v>
      </c>
      <c r="W163" s="37" cm="1">
        <f t="array" ref="W163">CheckYellowFill(Table248[[#This Row],[MD
(m)]])</f>
        <v>0</v>
      </c>
      <c r="X163" s="41" cm="1">
        <f t="array" ref="X163">isfontcolorred(Table248[[#This Row],[MD
(m)]])</f>
        <v>0</v>
      </c>
      <c r="Y163" s="37">
        <f>IF(Table248[[#This Row],[Plug Depth
Plan
(m)]]&lt;&gt;0,1,0)</f>
        <v>0</v>
      </c>
      <c r="Z163" s="41"/>
      <c r="AA163" s="42" t="str">
        <f>IF(Table248[[#This Row],[Plug Depth
Plan
(m)]]=0,"",ABS(Table248[[#This Row],[Plug Depth
Plan
(m)]]-Table248[[#This Row],[MD
(m)]]))</f>
        <v/>
      </c>
    </row>
    <row r="164" spans="1:28" ht="16" thickBot="1" x14ac:dyDescent="0.25">
      <c r="A164" s="60">
        <v>3504</v>
      </c>
      <c r="B164" s="18">
        <v>2778.1753846153847</v>
      </c>
      <c r="C164" s="2"/>
      <c r="D164" s="2"/>
      <c r="E164" s="2"/>
      <c r="F164" s="2"/>
      <c r="G164" s="2"/>
      <c r="H164" s="2"/>
      <c r="I164" s="2"/>
      <c r="J164" s="7"/>
      <c r="K164" s="3"/>
      <c r="L164" s="3"/>
      <c r="M164" s="3"/>
      <c r="N164" s="8"/>
      <c r="O164" s="50"/>
      <c r="P164" s="50"/>
      <c r="Q164" s="50"/>
      <c r="R164" s="50"/>
      <c r="S164" s="39"/>
      <c r="T164" s="39"/>
      <c r="U164" s="39"/>
      <c r="V164" s="39"/>
      <c r="W164" s="37" cm="1">
        <f t="array" ref="W164">CheckYellowFill(Table248[[#This Row],[MD
(m)]])</f>
        <v>0</v>
      </c>
      <c r="X164" s="41" cm="1">
        <f t="array" ref="X164">isfontcolorred(Table248[[#This Row],[MD
(m)]])</f>
        <v>1</v>
      </c>
      <c r="Y164" s="37">
        <f>IF(Table248[[#This Row],[Plug Depth
Plan
(m)]]&lt;&gt;0,1,0)</f>
        <v>0</v>
      </c>
      <c r="Z164" s="41"/>
      <c r="AA164" s="42" t="str">
        <f>IF(Table248[[#This Row],[Plug Depth
Plan
(m)]]=0,"",ABS(Table248[[#This Row],[Plug Depth
Plan
(m)]]-Table248[[#This Row],[MD
(m)]]))</f>
        <v/>
      </c>
      <c r="AB164" s="28">
        <v>10549</v>
      </c>
    </row>
    <row r="165" spans="1:28" ht="16" thickBot="1" x14ac:dyDescent="0.25">
      <c r="A165" s="60">
        <v>3516.5</v>
      </c>
      <c r="B165" s="19">
        <v>2778.2440659340659</v>
      </c>
      <c r="C165" s="2"/>
      <c r="D165" s="2"/>
      <c r="E165" s="2"/>
      <c r="F165" s="2"/>
      <c r="G165" s="2"/>
      <c r="H165" s="2"/>
      <c r="I165" s="2"/>
      <c r="J165" s="7"/>
      <c r="K165" s="3"/>
      <c r="L165" s="3"/>
      <c r="M165" s="3"/>
      <c r="N165" s="8"/>
      <c r="O165" s="50"/>
      <c r="P165" s="50"/>
      <c r="Q165" s="50"/>
      <c r="R165" s="50"/>
      <c r="S165" s="39"/>
      <c r="T165" s="39"/>
      <c r="U165" s="39"/>
      <c r="V165" s="39"/>
      <c r="W165" s="37" cm="1">
        <f t="array" ref="W165">CheckYellowFill(Table248[[#This Row],[MD
(m)]])</f>
        <v>0</v>
      </c>
      <c r="X165" s="41" cm="1">
        <f t="array" ref="X165">isfontcolorred(Table248[[#This Row],[MD
(m)]])</f>
        <v>1</v>
      </c>
      <c r="Y165" s="37">
        <f>IF(Table248[[#This Row],[Plug Depth
Plan
(m)]]&lt;&gt;0,1,0)</f>
        <v>0</v>
      </c>
      <c r="Z165" s="41"/>
      <c r="AA165" s="42" t="str">
        <f>IF(Table248[[#This Row],[Plug Depth
Plan
(m)]]=0,"",ABS(Table248[[#This Row],[Plug Depth
Plan
(m)]]-Table248[[#This Row],[MD
(m)]]))</f>
        <v/>
      </c>
      <c r="AB165" s="28">
        <v>8565</v>
      </c>
    </row>
    <row r="166" spans="1:28" ht="16" thickBot="1" x14ac:dyDescent="0.25">
      <c r="A166" s="61">
        <v>3529</v>
      </c>
      <c r="B166" s="18">
        <v>2778.3127472527472</v>
      </c>
      <c r="C166" s="2"/>
      <c r="D166" s="2"/>
      <c r="E166" s="2"/>
      <c r="F166" s="2"/>
      <c r="G166" s="2"/>
      <c r="H166" s="2"/>
      <c r="I166" s="2"/>
      <c r="J166" s="7"/>
      <c r="K166" s="3"/>
      <c r="L166" s="3"/>
      <c r="M166" s="3"/>
      <c r="N166" s="8"/>
      <c r="O166" s="50"/>
      <c r="P166" s="50"/>
      <c r="Q166" s="50"/>
      <c r="R166" s="50"/>
      <c r="S166" s="39"/>
      <c r="T166" s="39"/>
      <c r="U166" s="39"/>
      <c r="V166" s="39"/>
      <c r="W166" s="37" cm="1">
        <f t="array" ref="W166">CheckYellowFill(Table248[[#This Row],[MD
(m)]])</f>
        <v>0</v>
      </c>
      <c r="X166" s="41" cm="1">
        <f t="array" ref="X166">isfontcolorred(Table248[[#This Row],[MD
(m)]])</f>
        <v>1</v>
      </c>
      <c r="Y166" s="37">
        <f>IF(Table248[[#This Row],[Plug Depth
Plan
(m)]]&lt;&gt;0,1,0)</f>
        <v>0</v>
      </c>
      <c r="Z166" s="41"/>
      <c r="AA166" s="42" t="str">
        <f>IF(Table248[[#This Row],[Plug Depth
Plan
(m)]]=0,"",ABS(Table248[[#This Row],[Plug Depth
Plan
(m)]]-Table248[[#This Row],[MD
(m)]]))</f>
        <v/>
      </c>
      <c r="AB166" s="28">
        <v>8565</v>
      </c>
    </row>
    <row r="167" spans="1:28" ht="16" thickBot="1" x14ac:dyDescent="0.25">
      <c r="A167" s="2">
        <v>3532.14</v>
      </c>
      <c r="B167" s="1">
        <v>2778.33</v>
      </c>
      <c r="C167" s="2">
        <v>89.14</v>
      </c>
      <c r="D167" s="2">
        <v>357.25</v>
      </c>
      <c r="E167" s="2">
        <v>1.23</v>
      </c>
      <c r="F167" s="1">
        <v>870.5</v>
      </c>
      <c r="G167" s="1">
        <v>177.42</v>
      </c>
      <c r="H167" s="1">
        <v>-1.1100000000000001</v>
      </c>
      <c r="I167" s="1">
        <v>-0.52</v>
      </c>
      <c r="J167" s="7">
        <v>3425.01</v>
      </c>
      <c r="K167" s="3">
        <v>2779.86</v>
      </c>
      <c r="L167" s="3">
        <v>89.777000000000001</v>
      </c>
      <c r="M167" s="3">
        <v>0.05</v>
      </c>
      <c r="N167" s="8">
        <v>0</v>
      </c>
      <c r="O167" s="50">
        <v>752.69</v>
      </c>
      <c r="P167" s="50">
        <v>188.48</v>
      </c>
      <c r="Q167" s="50">
        <v>0</v>
      </c>
      <c r="R167" s="50">
        <v>0</v>
      </c>
      <c r="S167" s="39">
        <v>2786.02</v>
      </c>
      <c r="T167" s="39">
        <f>ABS(Table248[[#This Row],[mTVD
Lower
Marker]]-Table248[[#This Row],[TVD
(m)]])</f>
        <v>7.6900000000000546</v>
      </c>
      <c r="U167" s="39">
        <v>2776.02</v>
      </c>
      <c r="V167" s="39">
        <f>ABS(Table248[[#This Row],[mTVD
Upper
Marker]]-Table248[[#This Row],[TVD
(m)]])</f>
        <v>2.3099999999999454</v>
      </c>
      <c r="W167" s="37" cm="1">
        <f t="array" ref="W167">CheckYellowFill(Table248[[#This Row],[MD
(m)]])</f>
        <v>0</v>
      </c>
      <c r="X167" s="41" cm="1">
        <f t="array" ref="X167">isfontcolorred(Table248[[#This Row],[MD
(m)]])</f>
        <v>0</v>
      </c>
      <c r="Y167" s="37">
        <f>IF(Table248[[#This Row],[Plug Depth
Plan
(m)]]&lt;&gt;0,1,0)</f>
        <v>0</v>
      </c>
      <c r="Z167" s="41"/>
      <c r="AA167" s="42" t="str">
        <f>IF(Table248[[#This Row],[Plug Depth
Plan
(m)]]=0,"",ABS(Table248[[#This Row],[Plug Depth
Plan
(m)]]-Table248[[#This Row],[MD
(m)]]))</f>
        <v/>
      </c>
    </row>
    <row r="168" spans="1:28" ht="16" thickBot="1" x14ac:dyDescent="0.25">
      <c r="A168" s="60">
        <v>3541.5</v>
      </c>
      <c r="B168" s="18">
        <v>2778.4562240663895</v>
      </c>
      <c r="C168" s="2"/>
      <c r="D168" s="2"/>
      <c r="E168" s="2"/>
      <c r="F168" s="2"/>
      <c r="G168" s="2"/>
      <c r="H168" s="2"/>
      <c r="I168" s="2"/>
      <c r="J168" s="7"/>
      <c r="K168" s="3"/>
      <c r="L168" s="3"/>
      <c r="M168" s="3"/>
      <c r="N168" s="8"/>
      <c r="O168" s="50"/>
      <c r="P168" s="50"/>
      <c r="Q168" s="50"/>
      <c r="R168" s="50"/>
      <c r="S168" s="39"/>
      <c r="T168" s="39"/>
      <c r="U168" s="39"/>
      <c r="V168" s="39"/>
      <c r="W168" s="37" cm="1">
        <f t="array" ref="W168">CheckYellowFill(Table248[[#This Row],[MD
(m)]])</f>
        <v>0</v>
      </c>
      <c r="X168" s="41" cm="1">
        <f t="array" ref="X168">isfontcolorred(Table248[[#This Row],[MD
(m)]])</f>
        <v>1</v>
      </c>
      <c r="Y168" s="37">
        <f>IF(Table248[[#This Row],[Plug Depth
Plan
(m)]]&lt;&gt;0,1,0)</f>
        <v>0</v>
      </c>
      <c r="Z168" s="41"/>
      <c r="AA168" s="42" t="str">
        <f>IF(Table248[[#This Row],[Plug Depth
Plan
(m)]]=0,"",ABS(Table248[[#This Row],[Plug Depth
Plan
(m)]]-Table248[[#This Row],[MD
(m)]]))</f>
        <v/>
      </c>
      <c r="AB168" s="28">
        <v>8565</v>
      </c>
    </row>
    <row r="169" spans="1:28" ht="16" thickBot="1" x14ac:dyDescent="0.25">
      <c r="A169" s="60">
        <v>3554</v>
      </c>
      <c r="B169" s="18">
        <v>2778.62479253112</v>
      </c>
      <c r="C169" s="2"/>
      <c r="D169" s="2"/>
      <c r="E169" s="2"/>
      <c r="F169" s="2"/>
      <c r="G169" s="2"/>
      <c r="H169" s="2"/>
      <c r="I169" s="2"/>
      <c r="J169" s="7"/>
      <c r="K169" s="3"/>
      <c r="L169" s="3"/>
      <c r="M169" s="3"/>
      <c r="N169" s="8"/>
      <c r="O169" s="50"/>
      <c r="P169" s="50"/>
      <c r="Q169" s="50"/>
      <c r="R169" s="50"/>
      <c r="S169" s="39"/>
      <c r="T169" s="39"/>
      <c r="U169" s="39"/>
      <c r="V169" s="39"/>
      <c r="W169" s="37" cm="1">
        <f t="array" ref="W169">CheckYellowFill(Table248[[#This Row],[MD
(m)]])</f>
        <v>0</v>
      </c>
      <c r="X169" s="41" cm="1">
        <f t="array" ref="X169">isfontcolorred(Table248[[#This Row],[MD
(m)]])</f>
        <v>1</v>
      </c>
      <c r="Y169" s="37">
        <f>IF(Table248[[#This Row],[Plug Depth
Plan
(m)]]&lt;&gt;0,1,0)</f>
        <v>0</v>
      </c>
      <c r="Z169" s="41"/>
      <c r="AA169" s="42" t="str">
        <f>IF(Table248[[#This Row],[Plug Depth
Plan
(m)]]=0,"",ABS(Table248[[#This Row],[Plug Depth
Plan
(m)]]-Table248[[#This Row],[MD
(m)]]))</f>
        <v/>
      </c>
      <c r="AB169" s="28">
        <v>8565</v>
      </c>
    </row>
    <row r="170" spans="1:28" ht="16" thickBot="1" x14ac:dyDescent="0.25">
      <c r="A170" s="63">
        <v>3559</v>
      </c>
      <c r="B170" s="67">
        <v>2778.6922199170117</v>
      </c>
      <c r="C170" s="2"/>
      <c r="D170" s="2"/>
      <c r="E170" s="2"/>
      <c r="F170" s="2"/>
      <c r="G170" s="2"/>
      <c r="H170" s="2"/>
      <c r="I170" s="2"/>
      <c r="J170" s="7"/>
      <c r="K170" s="3"/>
      <c r="L170" s="3"/>
      <c r="M170" s="3"/>
      <c r="N170" s="8"/>
      <c r="O170" s="50"/>
      <c r="P170" s="50"/>
      <c r="Q170" s="50"/>
      <c r="R170" s="50"/>
      <c r="S170" s="39"/>
      <c r="T170" s="39"/>
      <c r="U170" s="39"/>
      <c r="V170" s="39"/>
      <c r="W170" s="37" cm="1">
        <f t="array" ref="W170">CheckYellowFill(Table248[[#This Row],[MD
(m)]])</f>
        <v>1</v>
      </c>
      <c r="X170" s="41" cm="1">
        <f t="array" ref="X170">isfontcolorred(Table248[[#This Row],[MD
(m)]])</f>
        <v>0</v>
      </c>
      <c r="Y170" s="37">
        <f>IF(Table248[[#This Row],[Plug Depth
Plan
(m)]]&lt;&gt;0,1,0)</f>
        <v>0</v>
      </c>
      <c r="Z170" s="41"/>
      <c r="AA170" s="42" t="str">
        <f>IF(Table248[[#This Row],[Plug Depth
Plan
(m)]]=0,"",ABS(Table248[[#This Row],[Plug Depth
Plan
(m)]]-Table248[[#This Row],[MD
(m)]]))</f>
        <v/>
      </c>
    </row>
    <row r="171" spans="1:28" ht="16" thickBot="1" x14ac:dyDescent="0.25">
      <c r="A171" s="2">
        <v>3561.06</v>
      </c>
      <c r="B171" s="1">
        <v>2778.72</v>
      </c>
      <c r="C171" s="2">
        <v>89.32</v>
      </c>
      <c r="D171" s="2">
        <v>1.83</v>
      </c>
      <c r="E171" s="2">
        <v>4.75</v>
      </c>
      <c r="F171" s="1">
        <v>899.41</v>
      </c>
      <c r="G171" s="1">
        <v>177.19</v>
      </c>
      <c r="H171" s="1">
        <v>0.19</v>
      </c>
      <c r="I171" s="1">
        <v>4.75</v>
      </c>
      <c r="J171" s="7">
        <v>3455.01</v>
      </c>
      <c r="K171" s="3">
        <v>2779.98</v>
      </c>
      <c r="L171" s="3">
        <v>89.777000000000001</v>
      </c>
      <c r="M171" s="3">
        <v>0.05</v>
      </c>
      <c r="N171" s="8">
        <v>0</v>
      </c>
      <c r="O171" s="50">
        <v>782.69</v>
      </c>
      <c r="P171" s="50">
        <v>188.51</v>
      </c>
      <c r="Q171" s="50">
        <v>0</v>
      </c>
      <c r="R171" s="50">
        <v>0</v>
      </c>
      <c r="S171" s="39">
        <v>2786.31</v>
      </c>
      <c r="T171" s="39">
        <f>ABS(Table248[[#This Row],[mTVD
Lower
Marker]]-Table248[[#This Row],[TVD
(m)]])</f>
        <v>7.5900000000001455</v>
      </c>
      <c r="U171" s="39">
        <v>2776.31</v>
      </c>
      <c r="V171" s="39">
        <f>ABS(Table248[[#This Row],[mTVD
Upper
Marker]]-Table248[[#This Row],[TVD
(m)]])</f>
        <v>2.4099999999998545</v>
      </c>
      <c r="W171" s="37" cm="1">
        <f t="array" ref="W171">CheckYellowFill(Table248[[#This Row],[MD
(m)]])</f>
        <v>0</v>
      </c>
      <c r="X171" s="41" cm="1">
        <f t="array" ref="X171">isfontcolorred(Table248[[#This Row],[MD
(m)]])</f>
        <v>0</v>
      </c>
      <c r="Y171" s="37">
        <f>IF(Table248[[#This Row],[Plug Depth
Plan
(m)]]&lt;&gt;0,1,0)</f>
        <v>0</v>
      </c>
      <c r="Z171" s="41"/>
      <c r="AA171" s="42" t="str">
        <f>IF(Table248[[#This Row],[Plug Depth
Plan
(m)]]=0,"",ABS(Table248[[#This Row],[Plug Depth
Plan
(m)]]-Table248[[#This Row],[MD
(m)]]))</f>
        <v/>
      </c>
    </row>
    <row r="172" spans="1:28" ht="16" thickBot="1" x14ac:dyDescent="0.25">
      <c r="A172" s="60">
        <v>3566.5</v>
      </c>
      <c r="B172" s="19">
        <v>2778.7556045470201</v>
      </c>
      <c r="C172" s="2"/>
      <c r="D172" s="2"/>
      <c r="E172" s="2"/>
      <c r="F172" s="2"/>
      <c r="G172" s="2"/>
      <c r="H172" s="2"/>
      <c r="I172" s="2"/>
      <c r="J172" s="7"/>
      <c r="K172" s="3"/>
      <c r="L172" s="3"/>
      <c r="M172" s="3"/>
      <c r="N172" s="8"/>
      <c r="O172" s="50"/>
      <c r="P172" s="50"/>
      <c r="Q172" s="50"/>
      <c r="R172" s="50"/>
      <c r="S172" s="39"/>
      <c r="T172" s="39"/>
      <c r="U172" s="39"/>
      <c r="V172" s="39"/>
      <c r="W172" s="37" cm="1">
        <f t="array" ref="W172">CheckYellowFill(Table248[[#This Row],[MD
(m)]])</f>
        <v>0</v>
      </c>
      <c r="X172" s="39" cm="1">
        <f t="array" ref="X172">isfontcolorred(Table248[[#This Row],[MD
(m)]])</f>
        <v>1</v>
      </c>
      <c r="Y172" s="37">
        <f>IF(Table248[[#This Row],[Plug Depth
Plan
(m)]]&lt;&gt;0,1,0)</f>
        <v>0</v>
      </c>
      <c r="Z172" s="39"/>
      <c r="AA172" s="40" t="str">
        <f>IF(Table248[[#This Row],[Plug Depth
Plan
(m)]]=0,"",ABS(Table248[[#This Row],[Plug Depth
Plan
(m)]]-Table248[[#This Row],[MD
(m)]]))</f>
        <v/>
      </c>
      <c r="AB172" s="28">
        <v>10443</v>
      </c>
    </row>
    <row r="173" spans="1:28" ht="16" thickBot="1" x14ac:dyDescent="0.25">
      <c r="A173" s="60">
        <v>3579</v>
      </c>
      <c r="B173" s="18">
        <v>2778.8374164657248</v>
      </c>
      <c r="C173" s="2"/>
      <c r="D173" s="2"/>
      <c r="E173" s="2"/>
      <c r="F173" s="2"/>
      <c r="G173" s="2"/>
      <c r="H173" s="2"/>
      <c r="I173" s="2"/>
      <c r="J173" s="7"/>
      <c r="K173" s="3"/>
      <c r="L173" s="3"/>
      <c r="M173" s="3"/>
      <c r="N173" s="8"/>
      <c r="O173" s="50"/>
      <c r="P173" s="50"/>
      <c r="Q173" s="50"/>
      <c r="R173" s="50"/>
      <c r="S173" s="39"/>
      <c r="T173" s="39"/>
      <c r="U173" s="39"/>
      <c r="V173" s="39"/>
      <c r="W173" s="37" cm="1">
        <f t="array" ref="W173">CheckYellowFill(Table248[[#This Row],[MD
(m)]])</f>
        <v>0</v>
      </c>
      <c r="X173" s="39" cm="1">
        <f t="array" ref="X173">isfontcolorred(Table248[[#This Row],[MD
(m)]])</f>
        <v>1</v>
      </c>
      <c r="Y173" s="37">
        <f>IF(Table248[[#This Row],[Plug Depth
Plan
(m)]]&lt;&gt;0,1,0)</f>
        <v>0</v>
      </c>
      <c r="Z173" s="39"/>
      <c r="AA173" s="40" t="str">
        <f>IF(Table248[[#This Row],[Plug Depth
Plan
(m)]]=0,"",ABS(Table248[[#This Row],[Plug Depth
Plan
(m)]]-Table248[[#This Row],[MD
(m)]]))</f>
        <v/>
      </c>
      <c r="AB173" s="28">
        <v>10443</v>
      </c>
    </row>
    <row r="174" spans="1:28" ht="16" thickBot="1" x14ac:dyDescent="0.25">
      <c r="A174" s="2">
        <v>3590.09</v>
      </c>
      <c r="B174" s="1">
        <v>2778.91</v>
      </c>
      <c r="C174" s="2">
        <v>89.91</v>
      </c>
      <c r="D174" s="2">
        <v>9.5500000000000007</v>
      </c>
      <c r="E174" s="2">
        <v>8</v>
      </c>
      <c r="F174" s="1">
        <v>928.27</v>
      </c>
      <c r="G174" s="1">
        <v>180.07</v>
      </c>
      <c r="H174" s="1">
        <v>0.61</v>
      </c>
      <c r="I174" s="1">
        <v>7.98</v>
      </c>
      <c r="J174" s="7">
        <v>3485.01</v>
      </c>
      <c r="K174" s="3">
        <v>2780.09</v>
      </c>
      <c r="L174" s="3">
        <v>89.777000000000001</v>
      </c>
      <c r="M174" s="3">
        <v>0.05</v>
      </c>
      <c r="N174" s="8">
        <v>0</v>
      </c>
      <c r="O174" s="50">
        <v>812.69</v>
      </c>
      <c r="P174" s="50">
        <v>188.53</v>
      </c>
      <c r="Q174" s="50">
        <v>0</v>
      </c>
      <c r="R174" s="50">
        <v>0</v>
      </c>
      <c r="S174" s="39">
        <v>2786.81</v>
      </c>
      <c r="T174" s="39">
        <f>ABS(Table248[[#This Row],[mTVD
Lower
Marker]]-Table248[[#This Row],[TVD
(m)]])</f>
        <v>7.9000000000000909</v>
      </c>
      <c r="U174" s="39">
        <v>2776.81</v>
      </c>
      <c r="V174" s="39">
        <f>ABS(Table248[[#This Row],[mTVD
Upper
Marker]]-Table248[[#This Row],[TVD
(m)]])</f>
        <v>2.0999999999999091</v>
      </c>
      <c r="W174" s="37" cm="1">
        <f t="array" ref="W174">CheckYellowFill(Table248[[#This Row],[MD
(m)]])</f>
        <v>0</v>
      </c>
      <c r="X174" s="39" cm="1">
        <f t="array" ref="X174">isfontcolorred(Table248[[#This Row],[MD
(m)]])</f>
        <v>0</v>
      </c>
      <c r="Y174" s="37">
        <f>IF(Table248[[#This Row],[Plug Depth
Plan
(m)]]&lt;&gt;0,1,0)</f>
        <v>0</v>
      </c>
      <c r="Z174" s="39"/>
      <c r="AA174" s="40" t="str">
        <f>IF(Table248[[#This Row],[Plug Depth
Plan
(m)]]=0,"",ABS(Table248[[#This Row],[Plug Depth
Plan
(m)]]-Table248[[#This Row],[MD
(m)]]))</f>
        <v/>
      </c>
    </row>
    <row r="175" spans="1:28" ht="16" thickBot="1" x14ac:dyDescent="0.25">
      <c r="A175" s="60">
        <v>3591.5</v>
      </c>
      <c r="B175" s="18">
        <v>2778.9216248711782</v>
      </c>
      <c r="C175" s="2"/>
      <c r="D175" s="2"/>
      <c r="E175" s="2"/>
      <c r="F175" s="2"/>
      <c r="G175" s="2"/>
      <c r="H175" s="2"/>
      <c r="I175" s="2"/>
      <c r="J175" s="7"/>
      <c r="K175" s="3"/>
      <c r="L175" s="3"/>
      <c r="M175" s="3"/>
      <c r="N175" s="8"/>
      <c r="O175" s="50"/>
      <c r="P175" s="50"/>
      <c r="Q175" s="50"/>
      <c r="R175" s="50"/>
      <c r="S175" s="39"/>
      <c r="T175" s="39"/>
      <c r="U175" s="39"/>
      <c r="V175" s="39"/>
      <c r="W175" s="37" cm="1">
        <f t="array" ref="W175">CheckYellowFill(Table248[[#This Row],[MD
(m)]])</f>
        <v>0</v>
      </c>
      <c r="X175" s="41" cm="1">
        <f t="array" ref="X175">isfontcolorred(Table248[[#This Row],[MD
(m)]])</f>
        <v>1</v>
      </c>
      <c r="Y175" s="37">
        <f>IF(Table248[[#This Row],[Plug Depth
Plan
(m)]]&lt;&gt;0,1,0)</f>
        <v>0</v>
      </c>
      <c r="Z175" s="41"/>
      <c r="AA175" s="42" t="str">
        <f>IF(Table248[[#This Row],[Plug Depth
Plan
(m)]]=0,"",ABS(Table248[[#This Row],[Plug Depth
Plan
(m)]]-Table248[[#This Row],[MD
(m)]]))</f>
        <v/>
      </c>
      <c r="AB175" s="28">
        <v>10443</v>
      </c>
    </row>
    <row r="176" spans="1:28" ht="16" thickBot="1" x14ac:dyDescent="0.25">
      <c r="A176" s="61">
        <v>3604</v>
      </c>
      <c r="B176" s="18">
        <v>2779.0246822397798</v>
      </c>
      <c r="C176" s="2"/>
      <c r="D176" s="2"/>
      <c r="E176" s="2"/>
      <c r="F176" s="2"/>
      <c r="G176" s="2"/>
      <c r="H176" s="2"/>
      <c r="I176" s="2"/>
      <c r="J176" s="7"/>
      <c r="K176" s="3"/>
      <c r="L176" s="3"/>
      <c r="M176" s="3"/>
      <c r="N176" s="8"/>
      <c r="O176" s="50"/>
      <c r="P176" s="50"/>
      <c r="Q176" s="50"/>
      <c r="R176" s="50"/>
      <c r="S176" s="39"/>
      <c r="T176" s="39"/>
      <c r="U176" s="39"/>
      <c r="V176" s="39"/>
      <c r="W176" s="37" cm="1">
        <f t="array" ref="W176">CheckYellowFill(Table248[[#This Row],[MD
(m)]])</f>
        <v>0</v>
      </c>
      <c r="X176" s="41" cm="1">
        <f t="array" ref="X176">isfontcolorred(Table248[[#This Row],[MD
(m)]])</f>
        <v>1</v>
      </c>
      <c r="Y176" s="37">
        <f>IF(Table248[[#This Row],[Plug Depth
Plan
(m)]]&lt;&gt;0,1,0)</f>
        <v>0</v>
      </c>
      <c r="Z176" s="41"/>
      <c r="AA176" s="42" t="str">
        <f>IF(Table248[[#This Row],[Plug Depth
Plan
(m)]]=0,"",ABS(Table248[[#This Row],[Plug Depth
Plan
(m)]]-Table248[[#This Row],[MD
(m)]]))</f>
        <v/>
      </c>
      <c r="AB176" s="28">
        <v>10443</v>
      </c>
    </row>
    <row r="177" spans="1:28" ht="16" thickBot="1" x14ac:dyDescent="0.25">
      <c r="A177" s="60">
        <v>3616.5</v>
      </c>
      <c r="B177" s="19">
        <v>2779.1277396083819</v>
      </c>
      <c r="C177" s="2"/>
      <c r="D177" s="2"/>
      <c r="E177" s="2"/>
      <c r="F177" s="2"/>
      <c r="G177" s="2"/>
      <c r="H177" s="2"/>
      <c r="I177" s="2"/>
      <c r="J177" s="7"/>
      <c r="K177" s="3"/>
      <c r="L177" s="3"/>
      <c r="M177" s="3"/>
      <c r="N177" s="8"/>
      <c r="O177" s="50"/>
      <c r="P177" s="50"/>
      <c r="Q177" s="50"/>
      <c r="R177" s="50"/>
      <c r="S177" s="39"/>
      <c r="T177" s="39"/>
      <c r="U177" s="39"/>
      <c r="V177" s="39"/>
      <c r="W177" s="37" cm="1">
        <f t="array" ref="W177">CheckYellowFill(Table248[[#This Row],[MD
(m)]])</f>
        <v>0</v>
      </c>
      <c r="X177" s="41" cm="1">
        <f t="array" ref="X177">isfontcolorred(Table248[[#This Row],[MD
(m)]])</f>
        <v>1</v>
      </c>
      <c r="Y177" s="37">
        <f>IF(Table248[[#This Row],[Plug Depth
Plan
(m)]]&lt;&gt;0,1,0)</f>
        <v>0</v>
      </c>
      <c r="Z177" s="41"/>
      <c r="AA177" s="42" t="str">
        <f>IF(Table248[[#This Row],[Plug Depth
Plan
(m)]]=0,"",ABS(Table248[[#This Row],[Plug Depth
Plan
(m)]]-Table248[[#This Row],[MD
(m)]]))</f>
        <v/>
      </c>
      <c r="AB177" s="28">
        <v>8753</v>
      </c>
    </row>
    <row r="178" spans="1:28" ht="16" thickBot="1" x14ac:dyDescent="0.25">
      <c r="A178" s="2">
        <v>3619.2</v>
      </c>
      <c r="B178" s="1">
        <v>2779.15</v>
      </c>
      <c r="C178" s="2">
        <v>89.17</v>
      </c>
      <c r="D178" s="2">
        <v>8.18</v>
      </c>
      <c r="E178" s="2">
        <v>1.6</v>
      </c>
      <c r="F178" s="1">
        <v>957.03</v>
      </c>
      <c r="G178" s="1">
        <v>184.55</v>
      </c>
      <c r="H178" s="1">
        <v>-0.76</v>
      </c>
      <c r="I178" s="1">
        <v>-1.41</v>
      </c>
      <c r="J178" s="7">
        <v>3515.01</v>
      </c>
      <c r="K178" s="3">
        <v>2780.21</v>
      </c>
      <c r="L178" s="3">
        <v>89.777000000000001</v>
      </c>
      <c r="M178" s="3">
        <v>0.05</v>
      </c>
      <c r="N178" s="8">
        <v>0</v>
      </c>
      <c r="O178" s="50">
        <v>842.69</v>
      </c>
      <c r="P178" s="50">
        <v>188.56</v>
      </c>
      <c r="Q178" s="50">
        <v>0</v>
      </c>
      <c r="R178" s="50">
        <v>0</v>
      </c>
      <c r="S178" s="39">
        <v>2787.31</v>
      </c>
      <c r="T178" s="39">
        <f>ABS(Table248[[#This Row],[mTVD
Lower
Marker]]-Table248[[#This Row],[TVD
(m)]])</f>
        <v>8.1599999999998545</v>
      </c>
      <c r="U178" s="39">
        <v>2777.31</v>
      </c>
      <c r="V178" s="39">
        <f>ABS(Table248[[#This Row],[mTVD
Upper
Marker]]-Table248[[#This Row],[TVD
(m)]])</f>
        <v>1.8400000000001455</v>
      </c>
      <c r="W178" s="37" cm="1">
        <f t="array" ref="W178">CheckYellowFill(Table248[[#This Row],[MD
(m)]])</f>
        <v>0</v>
      </c>
      <c r="X178" s="41" cm="1">
        <f t="array" ref="X178">isfontcolorred(Table248[[#This Row],[MD
(m)]])</f>
        <v>0</v>
      </c>
      <c r="Y178" s="37">
        <f>IF(Table248[[#This Row],[Plug Depth
Plan
(m)]]&lt;&gt;0,1,0)</f>
        <v>0</v>
      </c>
      <c r="Z178" s="41"/>
      <c r="AA178" s="42" t="str">
        <f>IF(Table248[[#This Row],[Plug Depth
Plan
(m)]]=0,"",ABS(Table248[[#This Row],[Plug Depth
Plan
(m)]]-Table248[[#This Row],[MD
(m)]]))</f>
        <v/>
      </c>
    </row>
    <row r="179" spans="1:28" ht="16" thickBot="1" x14ac:dyDescent="0.25">
      <c r="A179" s="60">
        <v>3629</v>
      </c>
      <c r="B179" s="19">
        <v>2779.2789473684211</v>
      </c>
      <c r="C179" s="2"/>
      <c r="D179" s="2"/>
      <c r="E179" s="2"/>
      <c r="F179" s="2"/>
      <c r="G179" s="2"/>
      <c r="H179" s="2"/>
      <c r="I179" s="2"/>
      <c r="J179" s="7"/>
      <c r="K179" s="3"/>
      <c r="L179" s="3"/>
      <c r="M179" s="3"/>
      <c r="N179" s="8"/>
      <c r="O179" s="50"/>
      <c r="P179" s="50"/>
      <c r="Q179" s="50"/>
      <c r="R179" s="50"/>
      <c r="S179" s="39"/>
      <c r="T179" s="39"/>
      <c r="U179" s="39"/>
      <c r="V179" s="39"/>
      <c r="W179" s="37" cm="1">
        <f t="array" ref="W179">CheckYellowFill(Table248[[#This Row],[MD
(m)]])</f>
        <v>0</v>
      </c>
      <c r="X179" s="41" cm="1">
        <f t="array" ref="X179">isfontcolorred(Table248[[#This Row],[MD
(m)]])</f>
        <v>1</v>
      </c>
      <c r="Y179" s="37">
        <f>IF(Table248[[#This Row],[Plug Depth
Plan
(m)]]&lt;&gt;0,1,0)</f>
        <v>0</v>
      </c>
      <c r="Z179" s="41"/>
      <c r="AA179" s="42" t="str">
        <f>IF(Table248[[#This Row],[Plug Depth
Plan
(m)]]=0,"",ABS(Table248[[#This Row],[Plug Depth
Plan
(m)]]-Table248[[#This Row],[MD
(m)]]))</f>
        <v/>
      </c>
      <c r="AB179" s="28">
        <v>8753</v>
      </c>
    </row>
    <row r="180" spans="1:28" ht="16" thickBot="1" x14ac:dyDescent="0.25">
      <c r="A180" s="60">
        <v>3641.5</v>
      </c>
      <c r="B180" s="18">
        <v>2779.4434210526315</v>
      </c>
      <c r="C180" s="2"/>
      <c r="D180" s="2"/>
      <c r="E180" s="2"/>
      <c r="F180" s="2"/>
      <c r="G180" s="2"/>
      <c r="H180" s="2"/>
      <c r="I180" s="2"/>
      <c r="J180" s="7"/>
      <c r="K180" s="3"/>
      <c r="L180" s="3"/>
      <c r="M180" s="3"/>
      <c r="N180" s="8"/>
      <c r="O180" s="50"/>
      <c r="P180" s="50"/>
      <c r="Q180" s="50"/>
      <c r="R180" s="50"/>
      <c r="S180" s="39"/>
      <c r="T180" s="39"/>
      <c r="U180" s="39"/>
      <c r="V180" s="39"/>
      <c r="W180" s="37" cm="1">
        <f t="array" ref="W180">CheckYellowFill(Table248[[#This Row],[MD
(m)]])</f>
        <v>0</v>
      </c>
      <c r="X180" s="39" cm="1">
        <f t="array" ref="X180">isfontcolorred(Table248[[#This Row],[MD
(m)]])</f>
        <v>1</v>
      </c>
      <c r="Y180" s="37">
        <f>IF(Table248[[#This Row],[Plug Depth
Plan
(m)]]&lt;&gt;0,1,0)</f>
        <v>0</v>
      </c>
      <c r="Z180" s="39"/>
      <c r="AA180" s="40" t="str">
        <f>IF(Table248[[#This Row],[Plug Depth
Plan
(m)]]=0,"",ABS(Table248[[#This Row],[Plug Depth
Plan
(m)]]-Table248[[#This Row],[MD
(m)]]))</f>
        <v/>
      </c>
      <c r="AB180" s="28">
        <v>8753</v>
      </c>
    </row>
    <row r="181" spans="1:28" ht="16" thickBot="1" x14ac:dyDescent="0.25">
      <c r="A181" s="2">
        <v>3648.08</v>
      </c>
      <c r="B181" s="1">
        <v>2779.53</v>
      </c>
      <c r="C181" s="2">
        <v>89.32</v>
      </c>
      <c r="D181" s="2">
        <v>1.18</v>
      </c>
      <c r="E181" s="2">
        <v>7.27</v>
      </c>
      <c r="F181" s="1">
        <v>985.79</v>
      </c>
      <c r="G181" s="1">
        <v>186.91</v>
      </c>
      <c r="H181" s="1">
        <v>0.16</v>
      </c>
      <c r="I181" s="1">
        <v>-7.27</v>
      </c>
      <c r="J181" s="7">
        <v>3545.01</v>
      </c>
      <c r="K181" s="3">
        <v>2780.33</v>
      </c>
      <c r="L181" s="3">
        <v>89.777000000000001</v>
      </c>
      <c r="M181" s="3">
        <v>0.05</v>
      </c>
      <c r="N181" s="8">
        <v>0</v>
      </c>
      <c r="O181" s="50">
        <v>872.69</v>
      </c>
      <c r="P181" s="50">
        <v>188.58</v>
      </c>
      <c r="Q181" s="50">
        <v>0</v>
      </c>
      <c r="R181" s="50">
        <v>0</v>
      </c>
      <c r="S181" s="39">
        <v>2787.71</v>
      </c>
      <c r="T181" s="39">
        <f>ABS(Table248[[#This Row],[mTVD
Lower
Marker]]-Table248[[#This Row],[TVD
(m)]])</f>
        <v>8.1799999999998363</v>
      </c>
      <c r="U181" s="39">
        <v>2777.71</v>
      </c>
      <c r="V181" s="39">
        <f>ABS(Table248[[#This Row],[mTVD
Upper
Marker]]-Table248[[#This Row],[TVD
(m)]])</f>
        <v>1.8200000000001637</v>
      </c>
      <c r="W181" s="37" cm="1">
        <f t="array" ref="W181">CheckYellowFill(Table248[[#This Row],[MD
(m)]])</f>
        <v>0</v>
      </c>
      <c r="X181" s="39" cm="1">
        <f t="array" ref="X181">isfontcolorred(Table248[[#This Row],[MD
(m)]])</f>
        <v>0</v>
      </c>
      <c r="Y181" s="37">
        <f>IF(Table248[[#This Row],[Plug Depth
Plan
(m)]]&lt;&gt;0,1,0)</f>
        <v>0</v>
      </c>
      <c r="Z181" s="39"/>
      <c r="AA181" s="40" t="str">
        <f>IF(Table248[[#This Row],[Plug Depth
Plan
(m)]]=0,"",ABS(Table248[[#This Row],[Plug Depth
Plan
(m)]]-Table248[[#This Row],[MD
(m)]]))</f>
        <v/>
      </c>
    </row>
    <row r="182" spans="1:28" ht="16" thickBot="1" x14ac:dyDescent="0.25">
      <c r="A182" s="61">
        <v>3654</v>
      </c>
      <c r="B182" s="18">
        <v>2779.6096962374872</v>
      </c>
      <c r="C182" s="2"/>
      <c r="D182" s="2"/>
      <c r="E182" s="2"/>
      <c r="F182" s="2"/>
      <c r="G182" s="2"/>
      <c r="H182" s="2"/>
      <c r="I182" s="2"/>
      <c r="J182" s="7"/>
      <c r="K182" s="3"/>
      <c r="L182" s="3"/>
      <c r="M182" s="3"/>
      <c r="N182" s="8"/>
      <c r="O182" s="50"/>
      <c r="P182" s="50"/>
      <c r="Q182" s="50"/>
      <c r="R182" s="50"/>
      <c r="S182" s="39"/>
      <c r="T182" s="39"/>
      <c r="U182" s="39"/>
      <c r="V182" s="39"/>
      <c r="W182" s="37" cm="1">
        <f t="array" ref="W182">CheckYellowFill(Table248[[#This Row],[MD
(m)]])</f>
        <v>0</v>
      </c>
      <c r="X182" s="39" cm="1">
        <f t="array" ref="X182">isfontcolorred(Table248[[#This Row],[MD
(m)]])</f>
        <v>1</v>
      </c>
      <c r="Y182" s="37">
        <f>IF(Table248[[#This Row],[Plug Depth
Plan
(m)]]&lt;&gt;0,1,0)</f>
        <v>0</v>
      </c>
      <c r="Z182" s="39"/>
      <c r="AA182" s="40" t="str">
        <f>IF(Table248[[#This Row],[Plug Depth
Plan
(m)]]=0,"",ABS(Table248[[#This Row],[Plug Depth
Plan
(m)]]-Table248[[#This Row],[MD
(m)]]))</f>
        <v/>
      </c>
      <c r="AB182" s="28">
        <v>8753</v>
      </c>
    </row>
    <row r="183" spans="1:28" ht="16" thickBot="1" x14ac:dyDescent="0.25">
      <c r="A183" s="62">
        <v>3659</v>
      </c>
      <c r="B183" s="66">
        <v>2779.6770072488785</v>
      </c>
      <c r="C183" s="2"/>
      <c r="D183" s="2"/>
      <c r="E183" s="2"/>
      <c r="F183" s="2"/>
      <c r="G183" s="2"/>
      <c r="H183" s="2"/>
      <c r="I183" s="2"/>
      <c r="J183" s="7"/>
      <c r="K183" s="3"/>
      <c r="L183" s="3"/>
      <c r="M183" s="3"/>
      <c r="N183" s="8"/>
      <c r="O183" s="50"/>
      <c r="P183" s="50"/>
      <c r="Q183" s="50"/>
      <c r="R183" s="50"/>
      <c r="S183" s="39"/>
      <c r="T183" s="39"/>
      <c r="U183" s="39"/>
      <c r="V183" s="39"/>
      <c r="W183" s="37" cm="1">
        <f t="array" ref="W183">CheckYellowFill(Table248[[#This Row],[MD
(m)]])</f>
        <v>1</v>
      </c>
      <c r="X183" s="41" cm="1">
        <f t="array" ref="X183">isfontcolorred(Table248[[#This Row],[MD
(m)]])</f>
        <v>0</v>
      </c>
      <c r="Y183" s="37">
        <f>IF(Table248[[#This Row],[Plug Depth
Plan
(m)]]&lt;&gt;0,1,0)</f>
        <v>0</v>
      </c>
      <c r="Z183" s="41"/>
      <c r="AA183" s="42" t="str">
        <f>IF(Table248[[#This Row],[Plug Depth
Plan
(m)]]=0,"",ABS(Table248[[#This Row],[Plug Depth
Plan
(m)]]-Table248[[#This Row],[MD
(m)]]))</f>
        <v/>
      </c>
    </row>
    <row r="184" spans="1:28" ht="16" thickBot="1" x14ac:dyDescent="0.25">
      <c r="A184" s="60">
        <v>3666.5</v>
      </c>
      <c r="B184" s="18">
        <v>2779.7779737659648</v>
      </c>
      <c r="C184" s="2"/>
      <c r="D184" s="2"/>
      <c r="E184" s="2"/>
      <c r="F184" s="2"/>
      <c r="G184" s="2"/>
      <c r="H184" s="2"/>
      <c r="I184" s="2"/>
      <c r="J184" s="7"/>
      <c r="K184" s="3"/>
      <c r="L184" s="3"/>
      <c r="M184" s="3"/>
      <c r="N184" s="8"/>
      <c r="O184" s="50"/>
      <c r="P184" s="50"/>
      <c r="Q184" s="50"/>
      <c r="R184" s="50"/>
      <c r="S184" s="39"/>
      <c r="T184" s="39"/>
      <c r="U184" s="39"/>
      <c r="V184" s="39"/>
      <c r="W184" s="37" cm="1">
        <f t="array" ref="W184">CheckYellowFill(Table248[[#This Row],[MD
(m)]])</f>
        <v>0</v>
      </c>
      <c r="X184" s="41" cm="1">
        <f t="array" ref="X184">isfontcolorred(Table248[[#This Row],[MD
(m)]])</f>
        <v>1</v>
      </c>
      <c r="Y184" s="37">
        <f>IF(Table248[[#This Row],[Plug Depth
Plan
(m)]]&lt;&gt;0,1,0)</f>
        <v>0</v>
      </c>
      <c r="Z184" s="41"/>
      <c r="AA184" s="42" t="str">
        <f>IF(Table248[[#This Row],[Plug Depth
Plan
(m)]]=0,"",ABS(Table248[[#This Row],[Plug Depth
Plan
(m)]]-Table248[[#This Row],[MD
(m)]]))</f>
        <v/>
      </c>
      <c r="AB184" s="28">
        <v>10671</v>
      </c>
    </row>
    <row r="185" spans="1:28" ht="16" thickBot="1" x14ac:dyDescent="0.25">
      <c r="A185" s="2">
        <v>3677.05</v>
      </c>
      <c r="B185" s="1">
        <v>2779.92</v>
      </c>
      <c r="C185" s="2">
        <v>89.14</v>
      </c>
      <c r="D185" s="2">
        <v>1.64</v>
      </c>
      <c r="E185" s="2">
        <v>0.51</v>
      </c>
      <c r="F185" s="1">
        <v>1014.75</v>
      </c>
      <c r="G185" s="1">
        <v>187.62</v>
      </c>
      <c r="H185" s="1">
        <v>-0.19</v>
      </c>
      <c r="I185" s="1">
        <v>0.48</v>
      </c>
      <c r="J185" s="7">
        <v>3575.01</v>
      </c>
      <c r="K185" s="3">
        <v>2780.44</v>
      </c>
      <c r="L185" s="3">
        <v>89.777000000000001</v>
      </c>
      <c r="M185" s="3">
        <v>0.05</v>
      </c>
      <c r="N185" s="8">
        <v>0</v>
      </c>
      <c r="O185" s="50">
        <v>902.69</v>
      </c>
      <c r="P185" s="50">
        <v>188.61</v>
      </c>
      <c r="Q185" s="50">
        <v>0</v>
      </c>
      <c r="R185" s="50">
        <v>0</v>
      </c>
      <c r="S185" s="39">
        <v>2788.11</v>
      </c>
      <c r="T185" s="39">
        <f>ABS(Table248[[#This Row],[mTVD
Lower
Marker]]-Table248[[#This Row],[TVD
(m)]])</f>
        <v>8.1900000000000546</v>
      </c>
      <c r="U185" s="39">
        <v>2778.11</v>
      </c>
      <c r="V185" s="39">
        <f>ABS(Table248[[#This Row],[mTVD
Upper
Marker]]-Table248[[#This Row],[TVD
(m)]])</f>
        <v>1.8099999999999454</v>
      </c>
      <c r="W185" s="37" cm="1">
        <f t="array" ref="W185">CheckYellowFill(Table248[[#This Row],[MD
(m)]])</f>
        <v>0</v>
      </c>
      <c r="X185" s="41" cm="1">
        <f t="array" ref="X185">isfontcolorred(Table248[[#This Row],[MD
(m)]])</f>
        <v>0</v>
      </c>
      <c r="Y185" s="37">
        <f>IF(Table248[[#This Row],[Plug Depth
Plan
(m)]]&lt;&gt;0,1,0)</f>
        <v>0</v>
      </c>
      <c r="Z185" s="41"/>
      <c r="AA185" s="42" t="str">
        <f>IF(Table248[[#This Row],[Plug Depth
Plan
(m)]]=0,"",ABS(Table248[[#This Row],[Plug Depth
Plan
(m)]]-Table248[[#This Row],[MD
(m)]]))</f>
        <v/>
      </c>
    </row>
    <row r="186" spans="1:28" ht="16" thickBot="1" x14ac:dyDescent="0.25">
      <c r="A186" s="61">
        <v>3679</v>
      </c>
      <c r="B186" s="18">
        <v>2779.9462422360243</v>
      </c>
      <c r="C186" s="2"/>
      <c r="D186" s="2"/>
      <c r="E186" s="2"/>
      <c r="F186" s="2"/>
      <c r="G186" s="2"/>
      <c r="H186" s="2"/>
      <c r="I186" s="2"/>
      <c r="J186" s="7"/>
      <c r="K186" s="3"/>
      <c r="L186" s="3"/>
      <c r="M186" s="3"/>
      <c r="N186" s="8"/>
      <c r="O186" s="50"/>
      <c r="P186" s="50"/>
      <c r="Q186" s="50"/>
      <c r="R186" s="50"/>
      <c r="S186" s="39"/>
      <c r="T186" s="39"/>
      <c r="U186" s="39"/>
      <c r="V186" s="39"/>
      <c r="W186" s="37" cm="1">
        <f t="array" ref="W186">CheckYellowFill(Table248[[#This Row],[MD
(m)]])</f>
        <v>0</v>
      </c>
      <c r="X186" s="41" cm="1">
        <f t="array" ref="X186">isfontcolorred(Table248[[#This Row],[MD
(m)]])</f>
        <v>1</v>
      </c>
      <c r="Y186" s="37">
        <f>IF(Table248[[#This Row],[Plug Depth
Plan
(m)]]&lt;&gt;0,1,0)</f>
        <v>0</v>
      </c>
      <c r="Z186" s="41"/>
      <c r="AA186" s="42" t="str">
        <f>IF(Table248[[#This Row],[Plug Depth
Plan
(m)]]=0,"",ABS(Table248[[#This Row],[Plug Depth
Plan
(m)]]-Table248[[#This Row],[MD
(m)]]))</f>
        <v/>
      </c>
      <c r="AB186" s="28">
        <v>10671</v>
      </c>
    </row>
    <row r="187" spans="1:28" ht="16" thickBot="1" x14ac:dyDescent="0.25">
      <c r="A187" s="60">
        <v>3691.5</v>
      </c>
      <c r="B187" s="19">
        <v>2780.1144616977222</v>
      </c>
      <c r="C187" s="2"/>
      <c r="D187" s="2"/>
      <c r="E187" s="2"/>
      <c r="F187" s="2"/>
      <c r="G187" s="2"/>
      <c r="H187" s="2"/>
      <c r="I187" s="2"/>
      <c r="J187" s="7"/>
      <c r="K187" s="3"/>
      <c r="L187" s="3"/>
      <c r="M187" s="3"/>
      <c r="N187" s="8"/>
      <c r="O187" s="50"/>
      <c r="P187" s="50"/>
      <c r="Q187" s="50"/>
      <c r="R187" s="50"/>
      <c r="S187" s="39"/>
      <c r="T187" s="39"/>
      <c r="U187" s="39"/>
      <c r="V187" s="39"/>
      <c r="W187" s="37" cm="1">
        <f t="array" ref="W187">CheckYellowFill(Table248[[#This Row],[MD
(m)]])</f>
        <v>0</v>
      </c>
      <c r="X187" s="39" cm="1">
        <f t="array" ref="X187">isfontcolorred(Table248[[#This Row],[MD
(m)]])</f>
        <v>1</v>
      </c>
      <c r="Y187" s="37">
        <f>IF(Table248[[#This Row],[Plug Depth
Plan
(m)]]&lt;&gt;0,1,0)</f>
        <v>0</v>
      </c>
      <c r="Z187" s="39"/>
      <c r="AA187" s="40" t="str">
        <f>IF(Table248[[#This Row],[Plug Depth
Plan
(m)]]=0,"",ABS(Table248[[#This Row],[Plug Depth
Plan
(m)]]-Table248[[#This Row],[MD
(m)]]))</f>
        <v/>
      </c>
      <c r="AB187" s="28">
        <v>10671</v>
      </c>
    </row>
    <row r="188" spans="1:28" ht="16" thickBot="1" x14ac:dyDescent="0.25">
      <c r="A188" s="60">
        <v>3704</v>
      </c>
      <c r="B188" s="18">
        <v>2780.28268115942</v>
      </c>
      <c r="C188" s="2"/>
      <c r="D188" s="2"/>
      <c r="E188" s="2"/>
      <c r="F188" s="2"/>
      <c r="G188" s="2"/>
      <c r="H188" s="2"/>
      <c r="I188" s="2"/>
      <c r="J188" s="7"/>
      <c r="K188" s="3"/>
      <c r="L188" s="3"/>
      <c r="M188" s="3"/>
      <c r="N188" s="8"/>
      <c r="O188" s="50"/>
      <c r="P188" s="50"/>
      <c r="Q188" s="50"/>
      <c r="R188" s="50"/>
      <c r="S188" s="39"/>
      <c r="T188" s="39"/>
      <c r="U188" s="39"/>
      <c r="V188" s="39"/>
      <c r="W188" s="37" cm="1">
        <f t="array" ref="W188">CheckYellowFill(Table248[[#This Row],[MD
(m)]])</f>
        <v>0</v>
      </c>
      <c r="X188" s="39" cm="1">
        <f t="array" ref="X188">isfontcolorred(Table248[[#This Row],[MD
(m)]])</f>
        <v>1</v>
      </c>
      <c r="Y188" s="37">
        <f>IF(Table248[[#This Row],[Plug Depth
Plan
(m)]]&lt;&gt;0,1,0)</f>
        <v>0</v>
      </c>
      <c r="Z188" s="39"/>
      <c r="AA188" s="40" t="str">
        <f>IF(Table248[[#This Row],[Plug Depth
Plan
(m)]]=0,"",ABS(Table248[[#This Row],[Plug Depth
Plan
(m)]]-Table248[[#This Row],[MD
(m)]]))</f>
        <v/>
      </c>
      <c r="AB188" s="28">
        <v>10671</v>
      </c>
    </row>
    <row r="189" spans="1:28" ht="16" thickBot="1" x14ac:dyDescent="0.25">
      <c r="A189" s="2">
        <v>3706.03</v>
      </c>
      <c r="B189" s="1">
        <v>2780.31</v>
      </c>
      <c r="C189" s="2">
        <v>89.29</v>
      </c>
      <c r="D189" s="2">
        <v>2.74</v>
      </c>
      <c r="E189" s="2">
        <v>1.1499999999999999</v>
      </c>
      <c r="F189" s="1">
        <v>1043.71</v>
      </c>
      <c r="G189" s="1">
        <v>188.73</v>
      </c>
      <c r="H189" s="1">
        <v>0.16</v>
      </c>
      <c r="I189" s="1">
        <v>1.1399999999999999</v>
      </c>
      <c r="J189" s="7">
        <v>3605.01</v>
      </c>
      <c r="K189" s="3">
        <v>2780.56</v>
      </c>
      <c r="L189" s="3">
        <v>89.777000000000001</v>
      </c>
      <c r="M189" s="3">
        <v>0.05</v>
      </c>
      <c r="N189" s="8">
        <v>0</v>
      </c>
      <c r="O189" s="50">
        <v>932.69</v>
      </c>
      <c r="P189" s="50">
        <v>188.64</v>
      </c>
      <c r="Q189" s="50">
        <v>0</v>
      </c>
      <c r="R189" s="50">
        <v>0</v>
      </c>
      <c r="S189" s="39">
        <v>2788.51</v>
      </c>
      <c r="T189" s="39">
        <f>ABS(Table248[[#This Row],[mTVD
Lower
Marker]]-Table248[[#This Row],[TVD
(m)]])</f>
        <v>8.2000000000002728</v>
      </c>
      <c r="U189" s="39">
        <v>2778.51</v>
      </c>
      <c r="V189" s="39">
        <f>ABS(Table248[[#This Row],[mTVD
Upper
Marker]]-Table248[[#This Row],[TVD
(m)]])</f>
        <v>1.7999999999997272</v>
      </c>
      <c r="W189" s="37" cm="1">
        <f t="array" ref="W189">CheckYellowFill(Table248[[#This Row],[MD
(m)]])</f>
        <v>0</v>
      </c>
      <c r="X189" s="39" cm="1">
        <f t="array" ref="X189">isfontcolorred(Table248[[#This Row],[MD
(m)]])</f>
        <v>0</v>
      </c>
      <c r="Y189" s="37">
        <f>IF(Table248[[#This Row],[Plug Depth
Plan
(m)]]&lt;&gt;0,1,0)</f>
        <v>0</v>
      </c>
      <c r="Z189" s="39"/>
      <c r="AA189" s="40" t="str">
        <f>IF(Table248[[#This Row],[Plug Depth
Plan
(m)]]=0,"",ABS(Table248[[#This Row],[Plug Depth
Plan
(m)]]-Table248[[#This Row],[MD
(m)]]))</f>
        <v/>
      </c>
    </row>
    <row r="190" spans="1:28" ht="16" thickBot="1" x14ac:dyDescent="0.25">
      <c r="A190" s="62">
        <v>3709</v>
      </c>
      <c r="B190" s="66">
        <v>2780.3475785340315</v>
      </c>
      <c r="C190" s="2"/>
      <c r="D190" s="2"/>
      <c r="E190" s="2"/>
      <c r="F190" s="2"/>
      <c r="G190" s="2"/>
      <c r="H190" s="2"/>
      <c r="I190" s="2"/>
      <c r="J190" s="7"/>
      <c r="K190" s="3"/>
      <c r="L190" s="3"/>
      <c r="M190" s="3"/>
      <c r="N190" s="8"/>
      <c r="O190" s="50"/>
      <c r="P190" s="50"/>
      <c r="Q190" s="50"/>
      <c r="R190" s="50"/>
      <c r="S190" s="39"/>
      <c r="T190" s="39"/>
      <c r="U190" s="39"/>
      <c r="V190" s="39"/>
      <c r="W190" s="37" cm="1">
        <f t="array" ref="W190">CheckYellowFill(Table248[[#This Row],[MD
(m)]])</f>
        <v>1</v>
      </c>
      <c r="X190" s="41" cm="1">
        <f t="array" ref="X190">isfontcolorred(Table248[[#This Row],[MD
(m)]])</f>
        <v>0</v>
      </c>
      <c r="Y190" s="37">
        <f>IF(Table248[[#This Row],[Plug Depth
Plan
(m)]]&lt;&gt;0,1,0)</f>
        <v>1</v>
      </c>
      <c r="Z190" s="41">
        <v>3863</v>
      </c>
      <c r="AA190" s="42">
        <f>IF(Table248[[#This Row],[Plug Depth
Plan
(m)]]=0,"",ABS(Table248[[#This Row],[Plug Depth
Plan
(m)]]-Table248[[#This Row],[MD
(m)]]))</f>
        <v>154</v>
      </c>
    </row>
    <row r="191" spans="1:28" ht="16" thickBot="1" x14ac:dyDescent="0.25">
      <c r="A191" s="2">
        <v>3728.95</v>
      </c>
      <c r="B191" s="1">
        <v>2780.6</v>
      </c>
      <c r="C191" s="2">
        <v>89.29</v>
      </c>
      <c r="D191" s="2">
        <v>0.56999999999999995</v>
      </c>
      <c r="E191" s="2">
        <v>2.84</v>
      </c>
      <c r="F191" s="1">
        <v>1066.6199999999999</v>
      </c>
      <c r="G191" s="1">
        <v>189.39</v>
      </c>
      <c r="H191" s="1">
        <v>0</v>
      </c>
      <c r="I191" s="1">
        <v>-2.84</v>
      </c>
      <c r="J191" s="7">
        <v>3635.01</v>
      </c>
      <c r="K191" s="3">
        <v>2780.68</v>
      </c>
      <c r="L191" s="3">
        <v>89.777000000000001</v>
      </c>
      <c r="M191" s="3">
        <v>0.05</v>
      </c>
      <c r="N191" s="8">
        <v>0</v>
      </c>
      <c r="O191" s="50">
        <v>962.69</v>
      </c>
      <c r="P191" s="50">
        <v>188.66</v>
      </c>
      <c r="Q191" s="50">
        <v>0</v>
      </c>
      <c r="R191" s="50">
        <v>0</v>
      </c>
      <c r="S191" s="41">
        <v>2788.82</v>
      </c>
      <c r="T191" s="39">
        <f>ABS(Table248[[#This Row],[mTVD
Lower
Marker]]-Table248[[#This Row],[TVD
(m)]])</f>
        <v>8.2200000000002547</v>
      </c>
      <c r="U191" s="39">
        <v>2778.82</v>
      </c>
      <c r="V191" s="39">
        <f>ABS(Table248[[#This Row],[mTVD
Upper
Marker]]-Table248[[#This Row],[TVD
(m)]])</f>
        <v>1.7799999999997453</v>
      </c>
      <c r="W191" s="37" cm="1">
        <f t="array" ref="W191">CheckYellowFill(Table248[[#This Row],[MD
(m)]])</f>
        <v>0</v>
      </c>
      <c r="X191" s="39" cm="1">
        <f t="array" ref="X191">isfontcolorred(Table248[[#This Row],[MD
(m)]])</f>
        <v>0</v>
      </c>
      <c r="Y191" s="37">
        <v>1</v>
      </c>
      <c r="Z191" s="39"/>
      <c r="AA191" s="40" t="str">
        <f>IF(Table248[[#This Row],[Plug Depth
Plan
(m)]]=0,"",ABS(Table248[[#This Row],[Plug Depth
Plan
(m)]]-Table248[[#This Row],[MD
(m)]]))</f>
        <v/>
      </c>
      <c r="AB191" s="29"/>
    </row>
    <row r="192" spans="1:28" ht="16" thickBot="1" x14ac:dyDescent="0.25">
      <c r="A192" s="2">
        <v>3758.4</v>
      </c>
      <c r="B192" s="1">
        <v>2780.98</v>
      </c>
      <c r="C192" s="2">
        <v>89.23</v>
      </c>
      <c r="D192" s="2">
        <v>0.69</v>
      </c>
      <c r="E192" s="2">
        <v>0.14000000000000001</v>
      </c>
      <c r="F192" s="1">
        <v>1096.06</v>
      </c>
      <c r="G192" s="1">
        <v>189.71</v>
      </c>
      <c r="H192" s="1">
        <v>-0.06</v>
      </c>
      <c r="I192" s="1">
        <v>0.12</v>
      </c>
      <c r="J192" s="7">
        <v>3665.01</v>
      </c>
      <c r="K192" s="3">
        <v>2780.79</v>
      </c>
      <c r="L192" s="3">
        <v>89.777000000000001</v>
      </c>
      <c r="M192" s="3">
        <v>0.05</v>
      </c>
      <c r="N192" s="8">
        <v>0</v>
      </c>
      <c r="O192" s="50">
        <v>992.69</v>
      </c>
      <c r="P192" s="50">
        <v>188.69</v>
      </c>
      <c r="Q192" s="50">
        <v>0</v>
      </c>
      <c r="R192" s="50">
        <v>0</v>
      </c>
      <c r="S192" s="41">
        <v>2789.23</v>
      </c>
      <c r="T192" s="39">
        <f>ABS(Table248[[#This Row],[mTVD
Lower
Marker]]-Table248[[#This Row],[TVD
(m)]])</f>
        <v>8.25</v>
      </c>
      <c r="U192" s="39">
        <v>2779.23</v>
      </c>
      <c r="V192" s="39">
        <f>ABS(Table248[[#This Row],[mTVD
Upper
Marker]]-Table248[[#This Row],[TVD
(m)]])</f>
        <v>1.75</v>
      </c>
      <c r="W192" s="37" cm="1">
        <f t="array" ref="W192">CheckYellowFill(Table248[[#This Row],[MD
(m)]])</f>
        <v>0</v>
      </c>
      <c r="X192" s="39" cm="1">
        <f t="array" ref="X192">isfontcolorred(Table248[[#This Row],[MD
(m)]])</f>
        <v>0</v>
      </c>
      <c r="Y192" s="37">
        <v>1</v>
      </c>
      <c r="Z192" s="39"/>
      <c r="AA192" s="40" t="str">
        <f>IF(Table248[[#This Row],[Plug Depth
Plan
(m)]]=0,"",ABS(Table248[[#This Row],[Plug Depth
Plan
(m)]]-Table248[[#This Row],[MD
(m)]]))</f>
        <v/>
      </c>
    </row>
    <row r="193" spans="1:28" ht="16" thickBot="1" x14ac:dyDescent="0.25">
      <c r="A193" s="2">
        <v>3787.61</v>
      </c>
      <c r="B193" s="1">
        <v>2781.33</v>
      </c>
      <c r="C193" s="2">
        <v>89.41</v>
      </c>
      <c r="D193" s="2">
        <v>0.64</v>
      </c>
      <c r="E193" s="2">
        <v>0.19</v>
      </c>
      <c r="F193" s="1">
        <v>1125.27</v>
      </c>
      <c r="G193" s="1">
        <v>190.05</v>
      </c>
      <c r="H193" s="1">
        <v>0.18</v>
      </c>
      <c r="I193" s="1">
        <v>-0.05</v>
      </c>
      <c r="J193" s="7">
        <v>3695.01</v>
      </c>
      <c r="K193" s="3">
        <v>2780.91</v>
      </c>
      <c r="L193" s="3">
        <v>89.777000000000001</v>
      </c>
      <c r="M193" s="3">
        <v>0.05</v>
      </c>
      <c r="N193" s="8">
        <v>0</v>
      </c>
      <c r="O193" s="50">
        <v>1022.69</v>
      </c>
      <c r="P193" s="50">
        <v>188.72</v>
      </c>
      <c r="Q193" s="50">
        <v>0</v>
      </c>
      <c r="R193" s="50">
        <v>0</v>
      </c>
      <c r="S193" s="41">
        <v>2789.63</v>
      </c>
      <c r="T193" s="39">
        <f>ABS(Table248[[#This Row],[mTVD
Lower
Marker]]-Table248[[#This Row],[TVD
(m)]])</f>
        <v>8.3000000000001819</v>
      </c>
      <c r="U193" s="39">
        <v>2779.63</v>
      </c>
      <c r="V193" s="39">
        <f>ABS(Table248[[#This Row],[mTVD
Upper
Marker]]-Table248[[#This Row],[TVD
(m)]])</f>
        <v>1.6999999999998181</v>
      </c>
      <c r="W193" s="37" cm="1">
        <f t="array" ref="W193">CheckYellowFill(Table248[[#This Row],[MD
(m)]])</f>
        <v>0</v>
      </c>
      <c r="X193" s="39" cm="1">
        <f t="array" ref="X193">isfontcolorred(Table248[[#This Row],[MD
(m)]])</f>
        <v>0</v>
      </c>
      <c r="Y193" s="37">
        <v>1</v>
      </c>
      <c r="Z193" s="39"/>
      <c r="AA193" s="40" t="str">
        <f>IF(Table248[[#This Row],[Plug Depth
Plan
(m)]]=0,"",ABS(Table248[[#This Row],[Plug Depth
Plan
(m)]]-Table248[[#This Row],[MD
(m)]]))</f>
        <v/>
      </c>
    </row>
    <row r="194" spans="1:28" ht="16" thickBot="1" x14ac:dyDescent="0.25">
      <c r="A194" s="2">
        <v>3816.51</v>
      </c>
      <c r="B194" s="1">
        <v>2781.68</v>
      </c>
      <c r="C194" s="2">
        <v>89.2</v>
      </c>
      <c r="D194" s="2">
        <v>0.62</v>
      </c>
      <c r="E194" s="2">
        <v>0.22</v>
      </c>
      <c r="F194" s="1">
        <v>1154.1600000000001</v>
      </c>
      <c r="G194" s="1">
        <v>190.37</v>
      </c>
      <c r="H194" s="1">
        <v>-0.22</v>
      </c>
      <c r="I194" s="1">
        <v>-0.02</v>
      </c>
      <c r="J194" s="7">
        <v>3725.01</v>
      </c>
      <c r="K194" s="3">
        <v>2781.03</v>
      </c>
      <c r="L194" s="3">
        <v>89.777000000000001</v>
      </c>
      <c r="M194" s="3">
        <v>0.05</v>
      </c>
      <c r="N194" s="8">
        <v>0</v>
      </c>
      <c r="O194" s="50">
        <v>1052.69</v>
      </c>
      <c r="P194" s="50">
        <v>188.74</v>
      </c>
      <c r="Q194" s="50">
        <v>0</v>
      </c>
      <c r="R194" s="50">
        <v>0</v>
      </c>
      <c r="S194" s="41">
        <v>2789.99</v>
      </c>
      <c r="T194" s="39">
        <f>ABS(Table248[[#This Row],[mTVD
Lower
Marker]]-Table248[[#This Row],[TVD
(m)]])</f>
        <v>8.3099999999999454</v>
      </c>
      <c r="U194" s="39">
        <v>2779.99</v>
      </c>
      <c r="V194" s="39">
        <f>ABS(Table248[[#This Row],[mTVD
Upper
Marker]]-Table248[[#This Row],[TVD
(m)]])</f>
        <v>1.6900000000000546</v>
      </c>
      <c r="W194" s="37" cm="1">
        <f t="array" ref="W194">CheckYellowFill(Table248[[#This Row],[MD
(m)]])</f>
        <v>0</v>
      </c>
      <c r="X194" s="39" cm="1">
        <f t="array" ref="X194">isfontcolorred(Table248[[#This Row],[MD
(m)]])</f>
        <v>0</v>
      </c>
      <c r="Y194" s="37">
        <v>1</v>
      </c>
      <c r="Z194" s="39"/>
      <c r="AA194" s="40" t="str">
        <f>IF(Table248[[#This Row],[Plug Depth
Plan
(m)]]=0,"",ABS(Table248[[#This Row],[Plug Depth
Plan
(m)]]-Table248[[#This Row],[MD
(m)]]))</f>
        <v/>
      </c>
    </row>
    <row r="195" spans="1:28" ht="16" thickBot="1" x14ac:dyDescent="0.25">
      <c r="A195" s="2">
        <v>3845.51</v>
      </c>
      <c r="B195" s="1">
        <v>2782</v>
      </c>
      <c r="C195" s="2">
        <v>89.51</v>
      </c>
      <c r="D195" s="2">
        <v>0.85</v>
      </c>
      <c r="E195" s="2">
        <v>0.4</v>
      </c>
      <c r="F195" s="1">
        <v>1183.1600000000001</v>
      </c>
      <c r="G195" s="1">
        <v>190.74</v>
      </c>
      <c r="H195" s="1">
        <v>0.32</v>
      </c>
      <c r="I195" s="1">
        <v>0.24</v>
      </c>
      <c r="J195" s="7">
        <v>3755.01</v>
      </c>
      <c r="K195" s="3">
        <v>2781.14</v>
      </c>
      <c r="L195" s="3">
        <v>89.777000000000001</v>
      </c>
      <c r="M195" s="3">
        <v>0.05</v>
      </c>
      <c r="N195" s="8">
        <v>0</v>
      </c>
      <c r="O195" s="50">
        <v>1082.69</v>
      </c>
      <c r="P195" s="50">
        <v>188.77</v>
      </c>
      <c r="Q195" s="50">
        <v>0</v>
      </c>
      <c r="R195" s="50">
        <v>0</v>
      </c>
      <c r="S195" s="41">
        <v>2790.04</v>
      </c>
      <c r="T195" s="39">
        <f>ABS(Table248[[#This Row],[mTVD
Lower
Marker]]-Table248[[#This Row],[TVD
(m)]])</f>
        <v>8.0399999999999636</v>
      </c>
      <c r="U195" s="39">
        <v>2780.04</v>
      </c>
      <c r="V195" s="39">
        <f>ABS(Table248[[#This Row],[mTVD
Upper
Marker]]-Table248[[#This Row],[TVD
(m)]])</f>
        <v>1.9600000000000364</v>
      </c>
      <c r="W195" s="37" cm="1">
        <f t="array" ref="W195">CheckYellowFill(Table248[[#This Row],[MD
(m)]])</f>
        <v>0</v>
      </c>
      <c r="X195" s="39" cm="1">
        <f t="array" ref="X195">isfontcolorred(Table248[[#This Row],[MD
(m)]])</f>
        <v>0</v>
      </c>
      <c r="Y195" s="37">
        <v>1</v>
      </c>
      <c r="Z195" s="39"/>
      <c r="AA195" s="40" t="str">
        <f>IF(Table248[[#This Row],[Plug Depth
Plan
(m)]]=0,"",ABS(Table248[[#This Row],[Plug Depth
Plan
(m)]]-Table248[[#This Row],[MD
(m)]]))</f>
        <v/>
      </c>
    </row>
    <row r="196" spans="1:28" ht="16" thickBot="1" x14ac:dyDescent="0.25">
      <c r="A196" s="61">
        <v>3862.9</v>
      </c>
      <c r="B196" s="18">
        <v>2782.1743207742829</v>
      </c>
      <c r="C196" s="2"/>
      <c r="D196" s="2"/>
      <c r="E196" s="2"/>
      <c r="F196" s="2"/>
      <c r="G196" s="2"/>
      <c r="H196" s="2"/>
      <c r="I196" s="2"/>
      <c r="J196" s="7"/>
      <c r="K196" s="3"/>
      <c r="L196" s="3"/>
      <c r="M196" s="3"/>
      <c r="N196" s="8"/>
      <c r="O196" s="50"/>
      <c r="P196" s="50"/>
      <c r="Q196" s="50"/>
      <c r="R196" s="50"/>
      <c r="S196" s="41"/>
      <c r="T196" s="39"/>
      <c r="U196" s="39"/>
      <c r="V196" s="39"/>
      <c r="W196" s="37" cm="1">
        <f t="array" ref="W196">CheckYellowFill(Table248[[#This Row],[MD
(m)]])</f>
        <v>0</v>
      </c>
      <c r="X196" s="39" cm="1">
        <f t="array" ref="X196">isfontcolorred(Table248[[#This Row],[MD
(m)]])</f>
        <v>1</v>
      </c>
      <c r="Y196" s="37">
        <v>1</v>
      </c>
      <c r="Z196" s="39"/>
      <c r="AA196" s="40" t="str">
        <f>IF(Table248[[#This Row],[Plug Depth
Plan
(m)]]=0,"",ABS(Table248[[#This Row],[Plug Depth
Plan
(m)]]-Table248[[#This Row],[MD
(m)]]))</f>
        <v/>
      </c>
      <c r="AB196" s="28">
        <v>10722</v>
      </c>
    </row>
    <row r="197" spans="1:28" ht="16" thickBot="1" x14ac:dyDescent="0.25">
      <c r="A197" s="60">
        <v>3870.4</v>
      </c>
      <c r="B197" s="18">
        <v>2782.2495022468029</v>
      </c>
      <c r="C197" s="2"/>
      <c r="D197" s="2"/>
      <c r="E197" s="2"/>
      <c r="F197" s="2"/>
      <c r="G197" s="2"/>
      <c r="H197" s="2"/>
      <c r="I197" s="2"/>
      <c r="J197" s="7"/>
      <c r="K197" s="3"/>
      <c r="L197" s="3"/>
      <c r="M197" s="3"/>
      <c r="N197" s="8"/>
      <c r="O197" s="50"/>
      <c r="P197" s="50"/>
      <c r="Q197" s="50"/>
      <c r="R197" s="50"/>
      <c r="S197" s="41"/>
      <c r="T197" s="39"/>
      <c r="U197" s="39"/>
      <c r="V197" s="39"/>
      <c r="W197" s="37" cm="1">
        <f t="array" ref="W197">CheckYellowFill(Table248[[#This Row],[MD
(m)]])</f>
        <v>0</v>
      </c>
      <c r="X197" s="39" cm="1">
        <f t="array" ref="X197">isfontcolorred(Table248[[#This Row],[MD
(m)]])</f>
        <v>1</v>
      </c>
      <c r="Y197" s="37">
        <f>IF(Table248[[#This Row],[Plug Depth
Plan
(m)]]&lt;&gt;0,1,0)</f>
        <v>0</v>
      </c>
      <c r="Z197" s="39"/>
      <c r="AA197" s="40" t="str">
        <f>IF(Table248[[#This Row],[Plug Depth
Plan
(m)]]=0,"",ABS(Table248[[#This Row],[Plug Depth
Plan
(m)]]-Table248[[#This Row],[MD
(m)]]))</f>
        <v/>
      </c>
      <c r="AB197" s="28">
        <v>10722</v>
      </c>
    </row>
    <row r="198" spans="1:28" ht="16" thickBot="1" x14ac:dyDescent="0.25">
      <c r="A198" s="3">
        <v>3874.44</v>
      </c>
      <c r="B198" s="1">
        <v>2782.29</v>
      </c>
      <c r="C198" s="2">
        <v>89.35</v>
      </c>
      <c r="D198" s="2">
        <v>1.25</v>
      </c>
      <c r="E198" s="2">
        <v>0.45</v>
      </c>
      <c r="F198" s="1">
        <v>1212.08</v>
      </c>
      <c r="G198" s="1">
        <v>191.27</v>
      </c>
      <c r="H198" s="1">
        <v>-0.17</v>
      </c>
      <c r="I198" s="1">
        <v>0.41</v>
      </c>
      <c r="J198" s="7">
        <v>3785.01</v>
      </c>
      <c r="K198" s="3">
        <v>2781.26</v>
      </c>
      <c r="L198" s="3">
        <v>89.777000000000001</v>
      </c>
      <c r="M198" s="3">
        <v>0.05</v>
      </c>
      <c r="N198" s="8">
        <v>0</v>
      </c>
      <c r="O198" s="50">
        <v>1112.69</v>
      </c>
      <c r="P198" s="50">
        <v>188.79</v>
      </c>
      <c r="Q198" s="50">
        <v>0</v>
      </c>
      <c r="R198" s="50">
        <v>0</v>
      </c>
      <c r="S198" s="41">
        <v>2790.09</v>
      </c>
      <c r="T198" s="39">
        <f>ABS(Table248[[#This Row],[mTVD
Lower
Marker]]-Table248[[#This Row],[TVD
(m)]])</f>
        <v>7.8000000000001819</v>
      </c>
      <c r="U198" s="39">
        <v>2780.09</v>
      </c>
      <c r="V198" s="39">
        <f>ABS(Table248[[#This Row],[mTVD
Upper
Marker]]-Table248[[#This Row],[TVD
(m)]])</f>
        <v>2.1999999999998181</v>
      </c>
      <c r="W198" s="37" cm="1">
        <f t="array" ref="W198">CheckYellowFill(Table248[[#This Row],[MD
(m)]])</f>
        <v>0</v>
      </c>
      <c r="X198" s="39" cm="1">
        <f t="array" ref="X198">isfontcolorred(Table248[[#This Row],[MD
(m)]])</f>
        <v>0</v>
      </c>
      <c r="Y198" s="37">
        <f>IF(Table248[[#This Row],[Plug Depth
Plan
(m)]]&lt;&gt;0,1,0)</f>
        <v>0</v>
      </c>
      <c r="Z198" s="39"/>
      <c r="AA198" s="40" t="str">
        <f>IF(Table248[[#This Row],[Plug Depth
Plan
(m)]]=0,"",ABS(Table248[[#This Row],[Plug Depth
Plan
(m)]]-Table248[[#This Row],[MD
(m)]]))</f>
        <v/>
      </c>
    </row>
    <row r="199" spans="1:28" ht="16" thickBot="1" x14ac:dyDescent="0.25">
      <c r="A199" s="53">
        <v>3882.9</v>
      </c>
      <c r="B199" s="18">
        <v>2782.3885068493155</v>
      </c>
      <c r="C199" s="2"/>
      <c r="D199" s="2"/>
      <c r="E199" s="2"/>
      <c r="F199" s="2"/>
      <c r="G199" s="2"/>
      <c r="H199" s="2"/>
      <c r="I199" s="2"/>
      <c r="J199" s="7"/>
      <c r="K199" s="3"/>
      <c r="L199" s="3"/>
      <c r="M199" s="3"/>
      <c r="N199" s="8"/>
      <c r="O199" s="50"/>
      <c r="P199" s="50"/>
      <c r="Q199" s="50"/>
      <c r="R199" s="50"/>
      <c r="S199" s="41"/>
      <c r="T199" s="39"/>
      <c r="U199" s="39"/>
      <c r="V199" s="39"/>
      <c r="W199" s="37" cm="1">
        <f t="array" ref="W199">CheckYellowFill(Table248[[#This Row],[MD
(m)]])</f>
        <v>0</v>
      </c>
      <c r="X199" s="39" cm="1">
        <f t="array" ref="X199">isfontcolorred(Table248[[#This Row],[MD
(m)]])</f>
        <v>1</v>
      </c>
      <c r="Y199" s="37">
        <f>IF(Table248[[#This Row],[Plug Depth
Plan
(m)]]&lt;&gt;0,1,0)</f>
        <v>0</v>
      </c>
      <c r="Z199" s="39"/>
      <c r="AA199" s="40" t="str">
        <f>IF(Table248[[#This Row],[Plug Depth
Plan
(m)]]=0,"",ABS(Table248[[#This Row],[Plug Depth
Plan
(m)]]-Table248[[#This Row],[MD
(m)]]))</f>
        <v/>
      </c>
      <c r="AB199" s="28">
        <v>10722</v>
      </c>
    </row>
    <row r="200" spans="1:28" ht="16" thickBot="1" x14ac:dyDescent="0.25">
      <c r="A200" s="52">
        <v>3895.4</v>
      </c>
      <c r="B200" s="18">
        <v>2782.5340547945207</v>
      </c>
      <c r="C200" s="2"/>
      <c r="D200" s="2"/>
      <c r="E200" s="2"/>
      <c r="F200" s="2"/>
      <c r="G200" s="2"/>
      <c r="H200" s="2"/>
      <c r="I200" s="2"/>
      <c r="J200" s="7"/>
      <c r="K200" s="3"/>
      <c r="L200" s="3"/>
      <c r="M200" s="3"/>
      <c r="N200" s="8"/>
      <c r="O200" s="50"/>
      <c r="P200" s="50"/>
      <c r="Q200" s="50"/>
      <c r="R200" s="50"/>
      <c r="S200" s="41"/>
      <c r="T200" s="39"/>
      <c r="U200" s="39"/>
      <c r="V200" s="39"/>
      <c r="W200" s="37" cm="1">
        <f t="array" ref="W200">CheckYellowFill(Table248[[#This Row],[MD
(m)]])</f>
        <v>0</v>
      </c>
      <c r="X200" s="39" cm="1">
        <f t="array" ref="X200">isfontcolorred(Table248[[#This Row],[MD
(m)]])</f>
        <v>1</v>
      </c>
      <c r="Y200" s="37">
        <f>IF(Table248[[#This Row],[Plug Depth
Plan
(m)]]&lt;&gt;0,1,0)</f>
        <v>0</v>
      </c>
      <c r="Z200" s="39"/>
      <c r="AA200" s="40" t="str">
        <f>IF(Table248[[#This Row],[Plug Depth
Plan
(m)]]=0,"",ABS(Table248[[#This Row],[Plug Depth
Plan
(m)]]-Table248[[#This Row],[MD
(m)]]))</f>
        <v/>
      </c>
      <c r="AB200" s="28">
        <v>10722</v>
      </c>
    </row>
    <row r="201" spans="1:28" ht="16" thickBot="1" x14ac:dyDescent="0.25">
      <c r="A201" s="3">
        <v>3903.64</v>
      </c>
      <c r="B201" s="1">
        <v>2782.63</v>
      </c>
      <c r="C201" s="2">
        <v>89.32</v>
      </c>
      <c r="D201" s="2">
        <v>3.6</v>
      </c>
      <c r="E201" s="2">
        <v>2.41</v>
      </c>
      <c r="F201" s="1">
        <v>1241.25</v>
      </c>
      <c r="G201" s="1">
        <v>192.51</v>
      </c>
      <c r="H201" s="1">
        <v>-0.03</v>
      </c>
      <c r="I201" s="1">
        <v>2.41</v>
      </c>
      <c r="J201" s="7">
        <v>3815.01</v>
      </c>
      <c r="K201" s="3">
        <v>2781.38</v>
      </c>
      <c r="L201" s="3">
        <v>89.777000000000001</v>
      </c>
      <c r="M201" s="3">
        <v>0.05</v>
      </c>
      <c r="N201" s="8">
        <v>0</v>
      </c>
      <c r="O201" s="50">
        <v>1142.69</v>
      </c>
      <c r="P201" s="50">
        <v>188.82</v>
      </c>
      <c r="Q201" s="50">
        <v>0</v>
      </c>
      <c r="R201" s="50">
        <v>0</v>
      </c>
      <c r="S201" s="41">
        <v>2790.45</v>
      </c>
      <c r="T201" s="39">
        <f>ABS(Table248[[#This Row],[mTVD
Lower
Marker]]-Table248[[#This Row],[TVD
(m)]])</f>
        <v>7.819999999999709</v>
      </c>
      <c r="U201" s="39">
        <v>2780.45</v>
      </c>
      <c r="V201" s="39">
        <f>ABS(Table248[[#This Row],[mTVD
Upper
Marker]]-Table248[[#This Row],[TVD
(m)]])</f>
        <v>2.180000000000291</v>
      </c>
      <c r="W201" s="37" cm="1">
        <f t="array" ref="W201">CheckYellowFill(Table248[[#This Row],[MD
(m)]])</f>
        <v>0</v>
      </c>
      <c r="X201" s="39" cm="1">
        <f t="array" ref="X201">isfontcolorred(Table248[[#This Row],[MD
(m)]])</f>
        <v>0</v>
      </c>
      <c r="Y201" s="37">
        <f>IF(Table248[[#This Row],[Plug Depth
Plan
(m)]]&lt;&gt;0,1,0)</f>
        <v>0</v>
      </c>
      <c r="Z201" s="39"/>
      <c r="AA201" s="40" t="str">
        <f>IF(Table248[[#This Row],[Plug Depth
Plan
(m)]]=0,"",ABS(Table248[[#This Row],[Plug Depth
Plan
(m)]]-Table248[[#This Row],[MD
(m)]]))</f>
        <v/>
      </c>
    </row>
    <row r="202" spans="1:28" ht="16" thickBot="1" x14ac:dyDescent="0.25">
      <c r="A202" s="53">
        <v>3907.9</v>
      </c>
      <c r="B202" s="19">
        <v>2782.692254697286</v>
      </c>
      <c r="C202" s="2"/>
      <c r="D202" s="2"/>
      <c r="E202" s="2"/>
      <c r="F202" s="2"/>
      <c r="G202" s="2"/>
      <c r="H202" s="2"/>
      <c r="I202" s="2"/>
      <c r="J202" s="7"/>
      <c r="K202" s="3"/>
      <c r="L202" s="3"/>
      <c r="M202" s="3"/>
      <c r="N202" s="8"/>
      <c r="O202" s="50"/>
      <c r="P202" s="50"/>
      <c r="Q202" s="50"/>
      <c r="R202" s="50"/>
      <c r="S202" s="39"/>
      <c r="T202" s="39"/>
      <c r="U202" s="39"/>
      <c r="V202" s="39"/>
      <c r="W202" s="37" cm="1">
        <f t="array" ref="W202">CheckYellowFill(Table248[[#This Row],[MD
(m)]])</f>
        <v>0</v>
      </c>
      <c r="X202" s="39" cm="1">
        <f t="array" ref="X202">isfontcolorred(Table248[[#This Row],[MD
(m)]])</f>
        <v>1</v>
      </c>
      <c r="Y202" s="37">
        <f>IF(Table248[[#This Row],[Plug Depth
Plan
(m)]]&lt;&gt;0,1,0)</f>
        <v>0</v>
      </c>
      <c r="Z202" s="39"/>
      <c r="AA202" s="40" t="str">
        <f>IF(Table248[[#This Row],[Plug Depth
Plan
(m)]]=0,"",ABS(Table248[[#This Row],[Plug Depth
Plan
(m)]]-Table248[[#This Row],[MD
(m)]]))</f>
        <v/>
      </c>
      <c r="AB202" s="28">
        <v>10722</v>
      </c>
    </row>
    <row r="203" spans="1:28" ht="16" thickBot="1" x14ac:dyDescent="0.25">
      <c r="A203" s="55">
        <v>3912.9</v>
      </c>
      <c r="B203" s="56">
        <v>2782.7653235908142</v>
      </c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39"/>
      <c r="T203" s="39"/>
      <c r="U203" s="39"/>
      <c r="V203" s="39"/>
      <c r="W203" s="37" cm="1">
        <f t="array" ref="W203">CheckYellowFill(Table248[[#This Row],[MD
(m)]])</f>
        <v>1</v>
      </c>
      <c r="X203" s="39" cm="1">
        <f t="array" ref="X203">isfontcolorred(Table248[[#This Row],[MD
(m)]])</f>
        <v>0</v>
      </c>
      <c r="Y203" s="37">
        <f>IF(Table248[[#This Row],[Plug Depth
Plan
(m)]]&lt;&gt;0,1,0)</f>
        <v>0</v>
      </c>
      <c r="Z203" s="39"/>
      <c r="AA203" s="40" t="str">
        <f>IF(Table248[[#This Row],[Plug Depth
Plan
(m)]]=0,"",ABS(Table248[[#This Row],[Plug Depth
Plan
(m)]]-Table248[[#This Row],[MD
(m)]]))</f>
        <v/>
      </c>
    </row>
    <row r="204" spans="1:28" ht="16" thickBot="1" x14ac:dyDescent="0.25">
      <c r="A204" s="53">
        <v>3920.4</v>
      </c>
      <c r="B204" s="20">
        <v>2782.8749269311065</v>
      </c>
      <c r="C204" s="3"/>
      <c r="D204" s="3"/>
      <c r="E204" s="8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39"/>
      <c r="T204" s="39"/>
      <c r="U204" s="39"/>
      <c r="V204" s="39"/>
      <c r="W204" s="37" cm="1">
        <f t="array" ref="W204">CheckYellowFill(Table248[[#This Row],[MD
(m)]])</f>
        <v>0</v>
      </c>
      <c r="X204" s="39" cm="1">
        <f t="array" ref="X204">isfontcolorred(Table248[[#This Row],[MD
(m)]])</f>
        <v>1</v>
      </c>
      <c r="Y204" s="37">
        <f>IF(Table248[[#This Row],[Plug Depth
Plan
(m)]]&lt;&gt;0,1,0)</f>
        <v>0</v>
      </c>
      <c r="Z204" s="39"/>
      <c r="AA204" s="40" t="str">
        <f>IF(Table248[[#This Row],[Plug Depth
Plan
(m)]]=0,"",ABS(Table248[[#This Row],[Plug Depth
Plan
(m)]]-Table248[[#This Row],[MD
(m)]]))</f>
        <v/>
      </c>
      <c r="AB204" s="28">
        <v>10617</v>
      </c>
    </row>
    <row r="205" spans="1:28" ht="16" thickBot="1" x14ac:dyDescent="0.25">
      <c r="A205" s="3">
        <v>3932.38</v>
      </c>
      <c r="B205" s="9">
        <v>2783.05</v>
      </c>
      <c r="C205" s="3">
        <v>89.02</v>
      </c>
      <c r="D205" s="3">
        <v>357.2</v>
      </c>
      <c r="E205" s="8">
        <v>6.69</v>
      </c>
      <c r="F205" s="1">
        <v>1269.97</v>
      </c>
      <c r="G205" s="1">
        <v>192.71</v>
      </c>
      <c r="H205" s="1">
        <v>-0.31</v>
      </c>
      <c r="I205" s="1">
        <v>-6.68</v>
      </c>
      <c r="J205" s="2">
        <v>3845.01</v>
      </c>
      <c r="K205" s="2">
        <v>2781.49</v>
      </c>
      <c r="L205" s="2">
        <v>89.777000000000001</v>
      </c>
      <c r="M205" s="2">
        <v>0.05</v>
      </c>
      <c r="N205" s="2">
        <v>0</v>
      </c>
      <c r="O205" s="2">
        <v>1172.69</v>
      </c>
      <c r="P205" s="2">
        <v>188.85</v>
      </c>
      <c r="Q205" s="2">
        <v>0</v>
      </c>
      <c r="R205" s="2">
        <v>0</v>
      </c>
      <c r="S205" s="39">
        <v>2790.85</v>
      </c>
      <c r="T205" s="39">
        <f>ABS(Table248[[#This Row],[mTVD
Lower
Marker]]-Table248[[#This Row],[TVD
(m)]])</f>
        <v>7.7999999999997272</v>
      </c>
      <c r="U205" s="39">
        <v>2780.85</v>
      </c>
      <c r="V205" s="39">
        <f>ABS(Table248[[#This Row],[mTVD
Upper
Marker]]-Table248[[#This Row],[TVD
(m)]])</f>
        <v>2.2000000000002728</v>
      </c>
      <c r="W205" s="37" cm="1">
        <f t="array" ref="W205">CheckYellowFill(Table248[[#This Row],[MD
(m)]])</f>
        <v>0</v>
      </c>
      <c r="X205" s="39" cm="1">
        <f t="array" ref="X205">isfontcolorred(Table248[[#This Row],[MD
(m)]])</f>
        <v>0</v>
      </c>
      <c r="Y205" s="37">
        <f>IF(Table248[[#This Row],[Plug Depth
Plan
(m)]]&lt;&gt;0,1,0)</f>
        <v>0</v>
      </c>
      <c r="Z205" s="39"/>
      <c r="AA205" s="40" t="str">
        <f>IF(Table248[[#This Row],[Plug Depth
Plan
(m)]]=0,"",ABS(Table248[[#This Row],[Plug Depth
Plan
(m)]]-Table248[[#This Row],[MD
(m)]]))</f>
        <v/>
      </c>
    </row>
    <row r="206" spans="1:28" ht="16" thickBot="1" x14ac:dyDescent="0.25">
      <c r="A206" s="52">
        <v>3932.9</v>
      </c>
      <c r="B206" s="20">
        <v>2783.0579416869145</v>
      </c>
      <c r="C206" s="3"/>
      <c r="D206" s="3"/>
      <c r="E206" s="8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39"/>
      <c r="T206" s="39"/>
      <c r="U206" s="39"/>
      <c r="V206" s="39"/>
      <c r="W206" s="37" cm="1">
        <f t="array" ref="W206">CheckYellowFill(Table248[[#This Row],[MD
(m)]])</f>
        <v>0</v>
      </c>
      <c r="X206" s="39" cm="1">
        <f t="array" ref="X206">isfontcolorred(Table248[[#This Row],[MD
(m)]])</f>
        <v>1</v>
      </c>
      <c r="Y206" s="37">
        <f>IF(Table248[[#This Row],[Plug Depth
Plan
(m)]]&lt;&gt;0,1,0)</f>
        <v>0</v>
      </c>
      <c r="Z206" s="39"/>
      <c r="AA206" s="40" t="str">
        <f>IF(Table248[[#This Row],[Plug Depth
Plan
(m)]]=0,"",ABS(Table248[[#This Row],[Plug Depth
Plan
(m)]]-Table248[[#This Row],[MD
(m)]]))</f>
        <v/>
      </c>
      <c r="AB206" s="28">
        <v>10617</v>
      </c>
    </row>
    <row r="207" spans="1:28" ht="16" thickBot="1" x14ac:dyDescent="0.25">
      <c r="A207" s="53">
        <v>3945.4</v>
      </c>
      <c r="B207" s="20">
        <v>2783.2488476223534</v>
      </c>
      <c r="C207" s="3"/>
      <c r="D207" s="3"/>
      <c r="E207" s="8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39"/>
      <c r="T207" s="39"/>
      <c r="U207" s="39"/>
      <c r="V207" s="39"/>
      <c r="W207" s="37" cm="1">
        <f t="array" ref="W207">CheckYellowFill(Table248[[#This Row],[MD
(m)]])</f>
        <v>0</v>
      </c>
      <c r="X207" s="39" cm="1">
        <f t="array" ref="X207">isfontcolorred(Table248[[#This Row],[MD
(m)]])</f>
        <v>1</v>
      </c>
      <c r="Y207" s="37">
        <f>IF(Table248[[#This Row],[Plug Depth
Plan
(m)]]&lt;&gt;0,1,0)</f>
        <v>0</v>
      </c>
      <c r="Z207" s="39"/>
      <c r="AA207" s="40" t="str">
        <f>IF(Table248[[#This Row],[Plug Depth
Plan
(m)]]=0,"",ABS(Table248[[#This Row],[Plug Depth
Plan
(m)]]-Table248[[#This Row],[MD
(m)]]))</f>
        <v/>
      </c>
      <c r="AB207" s="28">
        <v>10617</v>
      </c>
    </row>
    <row r="208" spans="1:28" ht="16" thickBot="1" x14ac:dyDescent="0.25">
      <c r="A208" s="53">
        <v>3957.9</v>
      </c>
      <c r="B208" s="20">
        <v>2783.4397535577923</v>
      </c>
      <c r="C208" s="3"/>
      <c r="D208" s="3"/>
      <c r="E208" s="8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39"/>
      <c r="T208" s="39"/>
      <c r="U208" s="39"/>
      <c r="V208" s="39"/>
      <c r="W208" s="37" cm="1">
        <f t="array" ref="W208">CheckYellowFill(Table248[[#This Row],[MD
(m)]])</f>
        <v>0</v>
      </c>
      <c r="X208" s="39" cm="1">
        <f t="array" ref="X208">isfontcolorred(Table248[[#This Row],[MD
(m)]])</f>
        <v>1</v>
      </c>
      <c r="Y208" s="37">
        <f>IF(Table248[[#This Row],[Plug Depth
Plan
(m)]]&lt;&gt;0,1,0)</f>
        <v>0</v>
      </c>
      <c r="Z208" s="39"/>
      <c r="AA208" s="40" t="str">
        <f>IF(Table248[[#This Row],[Plug Depth
Plan
(m)]]=0,"",ABS(Table248[[#This Row],[Plug Depth
Plan
(m)]]-Table248[[#This Row],[MD
(m)]]))</f>
        <v/>
      </c>
      <c r="AB208" s="28">
        <v>10617</v>
      </c>
    </row>
    <row r="209" spans="1:28" ht="16" thickBot="1" x14ac:dyDescent="0.25">
      <c r="A209" s="3">
        <v>3961.19</v>
      </c>
      <c r="B209" s="9">
        <v>2783.49</v>
      </c>
      <c r="C209" s="3">
        <v>89.2</v>
      </c>
      <c r="D209" s="3">
        <v>1.33</v>
      </c>
      <c r="E209" s="8">
        <v>4.3</v>
      </c>
      <c r="F209" s="69">
        <v>1298.77</v>
      </c>
      <c r="G209" s="69">
        <v>192.34</v>
      </c>
      <c r="H209" s="69">
        <v>0.19</v>
      </c>
      <c r="I209" s="69">
        <v>4.3</v>
      </c>
      <c r="J209" s="7">
        <v>3875.01</v>
      </c>
      <c r="K209" s="3">
        <v>2781.61</v>
      </c>
      <c r="L209" s="3">
        <v>89.777000000000001</v>
      </c>
      <c r="M209" s="3">
        <v>0.05</v>
      </c>
      <c r="N209" s="8">
        <v>0</v>
      </c>
      <c r="O209" s="50">
        <v>1202.69</v>
      </c>
      <c r="P209" s="50">
        <v>188.87</v>
      </c>
      <c r="Q209" s="50">
        <v>0</v>
      </c>
      <c r="R209" s="50">
        <v>0</v>
      </c>
      <c r="S209" s="39">
        <v>2791.25</v>
      </c>
      <c r="T209" s="39">
        <f>ABS(Table248[[#This Row],[mTVD
Lower
Marker]]-Table248[[#This Row],[TVD
(m)]])</f>
        <v>7.7600000000002183</v>
      </c>
      <c r="U209" s="39">
        <v>2781.25</v>
      </c>
      <c r="V209" s="39">
        <f>ABS(Table248[[#This Row],[mTVD
Upper
Marker]]-Table248[[#This Row],[TVD
(m)]])</f>
        <v>2.2399999999997817</v>
      </c>
      <c r="W209" s="37" cm="1">
        <f t="array" ref="W209">CheckYellowFill(Table248[[#This Row],[MD
(m)]])</f>
        <v>0</v>
      </c>
      <c r="X209" s="39" cm="1">
        <f t="array" ref="X209">isfontcolorred(Table248[[#This Row],[MD
(m)]])</f>
        <v>0</v>
      </c>
      <c r="Y209" s="37">
        <f>IF(Table248[[#This Row],[Plug Depth
Plan
(m)]]&lt;&gt;0,1,0)</f>
        <v>0</v>
      </c>
      <c r="Z209" s="39"/>
      <c r="AA209" s="40" t="str">
        <f>IF(Table248[[#This Row],[Plug Depth
Plan
(m)]]=0,"",ABS(Table248[[#This Row],[Plug Depth
Plan
(m)]]-Table248[[#This Row],[MD
(m)]]))</f>
        <v/>
      </c>
    </row>
    <row r="210" spans="1:28" ht="16" thickBot="1" x14ac:dyDescent="0.25">
      <c r="A210" s="65">
        <v>3962.9</v>
      </c>
      <c r="B210" s="58">
        <v>2783.5135699517568</v>
      </c>
      <c r="C210" s="3"/>
      <c r="D210" s="3"/>
      <c r="E210" s="8"/>
      <c r="F210" s="48"/>
      <c r="G210" s="48"/>
      <c r="H210" s="48"/>
      <c r="I210" s="48"/>
      <c r="J210" s="7"/>
      <c r="K210" s="3"/>
      <c r="L210" s="3"/>
      <c r="M210" s="3"/>
      <c r="N210" s="8"/>
      <c r="O210" s="50"/>
      <c r="P210" s="50"/>
      <c r="Q210" s="50"/>
      <c r="R210" s="50"/>
      <c r="S210" s="39"/>
      <c r="T210" s="39"/>
      <c r="U210" s="39"/>
      <c r="V210" s="39"/>
      <c r="W210" s="37" cm="1">
        <f t="array" ref="W210">CheckYellowFill(Table248[[#This Row],[MD
(m)]])</f>
        <v>1</v>
      </c>
      <c r="X210" s="39" cm="1">
        <f t="array" ref="X210">isfontcolorred(Table248[[#This Row],[MD
(m)]])</f>
        <v>0</v>
      </c>
      <c r="Y210" s="37">
        <f>IF(Table248[[#This Row],[Plug Depth
Plan
(m)]]&lt;&gt;0,1,0)</f>
        <v>0</v>
      </c>
      <c r="Z210" s="39"/>
      <c r="AA210" s="40" t="str">
        <f>IF(Table248[[#This Row],[Plug Depth
Plan
(m)]]=0,"",ABS(Table248[[#This Row],[Plug Depth
Plan
(m)]]-Table248[[#This Row],[MD
(m)]]))</f>
        <v/>
      </c>
    </row>
    <row r="211" spans="1:28" ht="16" thickBot="1" x14ac:dyDescent="0.25">
      <c r="A211" s="53">
        <v>3970.4</v>
      </c>
      <c r="B211" s="20">
        <v>2783.6169469331489</v>
      </c>
      <c r="C211" s="3"/>
      <c r="D211" s="3"/>
      <c r="E211" s="8"/>
      <c r="F211" s="48"/>
      <c r="G211" s="48"/>
      <c r="H211" s="48"/>
      <c r="I211" s="48"/>
      <c r="J211" s="7"/>
      <c r="K211" s="3"/>
      <c r="L211" s="3"/>
      <c r="M211" s="3"/>
      <c r="N211" s="8"/>
      <c r="O211" s="50"/>
      <c r="P211" s="50"/>
      <c r="Q211" s="50"/>
      <c r="R211" s="50"/>
      <c r="S211" s="39"/>
      <c r="T211" s="39"/>
      <c r="U211" s="39"/>
      <c r="V211" s="39"/>
      <c r="W211" s="37" cm="1">
        <f t="array" ref="W211">CheckYellowFill(Table248[[#This Row],[MD
(m)]])</f>
        <v>0</v>
      </c>
      <c r="X211" s="39" cm="1">
        <f t="array" ref="X211">isfontcolorred(Table248[[#This Row],[MD
(m)]])</f>
        <v>1</v>
      </c>
      <c r="Y211" s="37">
        <f>IF(Table248[[#This Row],[Plug Depth
Plan
(m)]]&lt;&gt;0,1,0)</f>
        <v>0</v>
      </c>
      <c r="Z211" s="39"/>
      <c r="AA211" s="40" t="str">
        <f>IF(Table248[[#This Row],[Plug Depth
Plan
(m)]]=0,"",ABS(Table248[[#This Row],[Plug Depth
Plan
(m)]]-Table248[[#This Row],[MD
(m)]]))</f>
        <v/>
      </c>
      <c r="AB211" s="28">
        <v>10751</v>
      </c>
    </row>
    <row r="212" spans="1:28" ht="16" thickBot="1" x14ac:dyDescent="0.25">
      <c r="A212" s="53">
        <v>3982.9</v>
      </c>
      <c r="B212" s="20">
        <v>2783.7892419021359</v>
      </c>
      <c r="C212" s="3"/>
      <c r="D212" s="3"/>
      <c r="E212" s="8"/>
      <c r="F212" s="48"/>
      <c r="G212" s="48"/>
      <c r="H212" s="48"/>
      <c r="I212" s="48"/>
      <c r="J212" s="7"/>
      <c r="K212" s="3"/>
      <c r="L212" s="3"/>
      <c r="M212" s="3"/>
      <c r="N212" s="8"/>
      <c r="O212" s="50"/>
      <c r="P212" s="50"/>
      <c r="Q212" s="50"/>
      <c r="R212" s="50"/>
      <c r="S212" s="39"/>
      <c r="T212" s="39"/>
      <c r="U212" s="39"/>
      <c r="V212" s="39"/>
      <c r="W212" s="37" cm="1">
        <f t="array" ref="W212">CheckYellowFill(Table248[[#This Row],[MD
(m)]])</f>
        <v>0</v>
      </c>
      <c r="X212" s="39" cm="1">
        <f t="array" ref="X212">isfontcolorred(Table248[[#This Row],[MD
(m)]])</f>
        <v>1</v>
      </c>
      <c r="Y212" s="37">
        <f>IF(Table248[[#This Row],[Plug Depth
Plan
(m)]]&lt;&gt;0,1,0)</f>
        <v>0</v>
      </c>
      <c r="Z212" s="39"/>
      <c r="AA212" s="40" t="str">
        <f>IF(Table248[[#This Row],[Plug Depth
Plan
(m)]]=0,"",ABS(Table248[[#This Row],[Plug Depth
Plan
(m)]]-Table248[[#This Row],[MD
(m)]]))</f>
        <v/>
      </c>
      <c r="AB212" s="28">
        <v>10751</v>
      </c>
    </row>
    <row r="213" spans="1:28" ht="16" thickBot="1" x14ac:dyDescent="0.25">
      <c r="A213" s="3">
        <v>3990.21</v>
      </c>
      <c r="B213" s="9">
        <v>2783.89</v>
      </c>
      <c r="C213" s="3">
        <v>89.23</v>
      </c>
      <c r="D213" s="3">
        <v>358.47</v>
      </c>
      <c r="E213" s="8">
        <v>2.96</v>
      </c>
      <c r="F213" s="69">
        <v>1327.79</v>
      </c>
      <c r="G213" s="69">
        <v>192.29</v>
      </c>
      <c r="H213" s="69">
        <v>0.03</v>
      </c>
      <c r="I213" s="69">
        <v>-2.96</v>
      </c>
      <c r="J213" s="7">
        <v>3905.01</v>
      </c>
      <c r="K213" s="3">
        <v>2781.73</v>
      </c>
      <c r="L213" s="3">
        <v>89.777000000000001</v>
      </c>
      <c r="M213" s="3">
        <v>0.05</v>
      </c>
      <c r="N213" s="8">
        <v>0</v>
      </c>
      <c r="O213" s="50">
        <v>1232.69</v>
      </c>
      <c r="P213" s="50">
        <v>188.9</v>
      </c>
      <c r="Q213" s="50">
        <v>0</v>
      </c>
      <c r="R213" s="50">
        <v>0</v>
      </c>
      <c r="S213" s="39">
        <v>2791.66</v>
      </c>
      <c r="T213" s="39">
        <f>ABS(Table248[[#This Row],[mTVD
Lower
Marker]]-Table248[[#This Row],[TVD
(m)]])</f>
        <v>7.7699999999999818</v>
      </c>
      <c r="U213" s="39">
        <v>2781.66</v>
      </c>
      <c r="V213" s="39">
        <f>ABS(Table248[[#This Row],[mTVD
Upper
Marker]]-Table248[[#This Row],[TVD
(m)]])</f>
        <v>2.2300000000000182</v>
      </c>
      <c r="W213" s="37" cm="1">
        <f t="array" ref="W213">CheckYellowFill(Table248[[#This Row],[MD
(m)]])</f>
        <v>0</v>
      </c>
      <c r="X213" s="39" cm="1">
        <f t="array" ref="X213">isfontcolorred(Table248[[#This Row],[MD
(m)]])</f>
        <v>0</v>
      </c>
      <c r="Y213" s="37">
        <f>IF(Table248[[#This Row],[Plug Depth
Plan
(m)]]&lt;&gt;0,1,0)</f>
        <v>0</v>
      </c>
      <c r="Z213" s="39"/>
      <c r="AA213" s="40" t="str">
        <f>IF(Table248[[#This Row],[Plug Depth
Plan
(m)]]=0,"",ABS(Table248[[#This Row],[Plug Depth
Plan
(m)]]-Table248[[#This Row],[MD
(m)]]))</f>
        <v/>
      </c>
    </row>
    <row r="214" spans="1:28" ht="16" thickBot="1" x14ac:dyDescent="0.25">
      <c r="A214" s="53">
        <v>3995.4</v>
      </c>
      <c r="B214" s="20">
        <v>2783.9668756458836</v>
      </c>
      <c r="C214" s="3"/>
      <c r="D214" s="3"/>
      <c r="E214" s="8"/>
      <c r="F214" s="48"/>
      <c r="G214" s="48"/>
      <c r="H214" s="48"/>
      <c r="I214" s="48"/>
      <c r="J214" s="7"/>
      <c r="K214" s="3"/>
      <c r="L214" s="3"/>
      <c r="M214" s="3"/>
      <c r="N214" s="8"/>
      <c r="O214" s="50"/>
      <c r="P214" s="50"/>
      <c r="Q214" s="50"/>
      <c r="R214" s="50"/>
      <c r="S214" s="39"/>
      <c r="T214" s="39"/>
      <c r="U214" s="39"/>
      <c r="V214" s="39"/>
      <c r="W214" s="37" cm="1">
        <f t="array" ref="W214">CheckYellowFill(Table248[[#This Row],[MD
(m)]])</f>
        <v>0</v>
      </c>
      <c r="X214" s="39" cm="1">
        <f t="array" ref="X214">isfontcolorred(Table248[[#This Row],[MD
(m)]])</f>
        <v>1</v>
      </c>
      <c r="Y214" s="37">
        <f>IF(Table248[[#This Row],[Plug Depth
Plan
(m)]]&lt;&gt;0,1,0)</f>
        <v>0</v>
      </c>
      <c r="Z214" s="39"/>
      <c r="AA214" s="40" t="str">
        <f>IF(Table248[[#This Row],[Plug Depth
Plan
(m)]]=0,"",ABS(Table248[[#This Row],[Plug Depth
Plan
(m)]]-Table248[[#This Row],[MD
(m)]]))</f>
        <v/>
      </c>
      <c r="AB214" s="28">
        <v>10571</v>
      </c>
    </row>
    <row r="215" spans="1:28" ht="16" thickBot="1" x14ac:dyDescent="0.25">
      <c r="A215" s="52">
        <v>4007.9</v>
      </c>
      <c r="B215" s="20">
        <v>2784.152028935584</v>
      </c>
      <c r="C215" s="3"/>
      <c r="D215" s="3"/>
      <c r="E215" s="8"/>
      <c r="F215" s="48"/>
      <c r="G215" s="48"/>
      <c r="H215" s="48"/>
      <c r="I215" s="48"/>
      <c r="J215" s="7"/>
      <c r="K215" s="3"/>
      <c r="L215" s="3"/>
      <c r="M215" s="3"/>
      <c r="N215" s="8"/>
      <c r="O215" s="50"/>
      <c r="P215" s="50"/>
      <c r="Q215" s="50"/>
      <c r="R215" s="50"/>
      <c r="S215" s="39"/>
      <c r="T215" s="39"/>
      <c r="U215" s="39"/>
      <c r="V215" s="39"/>
      <c r="W215" s="37" cm="1">
        <f t="array" ref="W215">CheckYellowFill(Table248[[#This Row],[MD
(m)]])</f>
        <v>0</v>
      </c>
      <c r="X215" s="39" cm="1">
        <f t="array" ref="X215">isfontcolorred(Table248[[#This Row],[MD
(m)]])</f>
        <v>1</v>
      </c>
      <c r="Y215" s="37">
        <f>IF(Table248[[#This Row],[Plug Depth
Plan
(m)]]&lt;&gt;0,1,0)</f>
        <v>0</v>
      </c>
      <c r="Z215" s="39"/>
      <c r="AA215" s="40" t="str">
        <f>IF(Table248[[#This Row],[Plug Depth
Plan
(m)]]=0,"",ABS(Table248[[#This Row],[Plug Depth
Plan
(m)]]-Table248[[#This Row],[MD
(m)]]))</f>
        <v/>
      </c>
      <c r="AB215" s="28">
        <v>10571</v>
      </c>
    </row>
    <row r="216" spans="1:28" ht="16" thickBot="1" x14ac:dyDescent="0.25">
      <c r="A216" s="55">
        <v>4012.9</v>
      </c>
      <c r="B216" s="58">
        <v>2784.226090251464</v>
      </c>
      <c r="C216" s="3"/>
      <c r="D216" s="3"/>
      <c r="E216" s="8"/>
      <c r="F216" s="48"/>
      <c r="G216" s="48"/>
      <c r="H216" s="48"/>
      <c r="I216" s="48"/>
      <c r="J216" s="7"/>
      <c r="K216" s="3"/>
      <c r="L216" s="3"/>
      <c r="M216" s="3"/>
      <c r="N216" s="8"/>
      <c r="O216" s="50"/>
      <c r="P216" s="50"/>
      <c r="Q216" s="50"/>
      <c r="R216" s="50"/>
      <c r="S216" s="39"/>
      <c r="T216" s="39"/>
      <c r="U216" s="39"/>
      <c r="V216" s="39"/>
      <c r="W216" s="37" cm="1">
        <f t="array" ref="W216">CheckYellowFill(Table248[[#This Row],[MD
(m)]])</f>
        <v>1</v>
      </c>
      <c r="X216" s="39" cm="1">
        <f t="array" ref="X216">isfontcolorred(Table248[[#This Row],[MD
(m)]])</f>
        <v>0</v>
      </c>
      <c r="Y216" s="37">
        <f>IF(Table248[[#This Row],[Plug Depth
Plan
(m)]]&lt;&gt;0,1,0)</f>
        <v>0</v>
      </c>
      <c r="Z216" s="39"/>
      <c r="AA216" s="40" t="str">
        <f>IF(Table248[[#This Row],[Plug Depth
Plan
(m)]]=0,"",ABS(Table248[[#This Row],[Plug Depth
Plan
(m)]]-Table248[[#This Row],[MD
(m)]]))</f>
        <v/>
      </c>
    </row>
    <row r="217" spans="1:28" ht="16" thickBot="1" x14ac:dyDescent="0.25">
      <c r="A217" s="3">
        <v>4019.24</v>
      </c>
      <c r="B217" s="9">
        <v>2784.32</v>
      </c>
      <c r="C217" s="3">
        <v>89.08</v>
      </c>
      <c r="D217" s="3">
        <v>358.92</v>
      </c>
      <c r="E217" s="8">
        <v>0.49</v>
      </c>
      <c r="F217" s="69">
        <v>1356.81</v>
      </c>
      <c r="G217" s="69">
        <v>191.63</v>
      </c>
      <c r="H217" s="69">
        <v>-0.16</v>
      </c>
      <c r="I217" s="69">
        <v>0.47</v>
      </c>
      <c r="J217" s="7">
        <v>3935.01</v>
      </c>
      <c r="K217" s="3">
        <v>2781.84</v>
      </c>
      <c r="L217" s="3">
        <v>89.777000000000001</v>
      </c>
      <c r="M217" s="3">
        <v>0.05</v>
      </c>
      <c r="N217" s="8">
        <v>0</v>
      </c>
      <c r="O217" s="50">
        <v>1262.69</v>
      </c>
      <c r="P217" s="50">
        <v>188.93</v>
      </c>
      <c r="Q217" s="50">
        <v>0</v>
      </c>
      <c r="R217" s="50">
        <v>0</v>
      </c>
      <c r="S217" s="39">
        <v>2792.07</v>
      </c>
      <c r="T217" s="39">
        <f>ABS(Table248[[#This Row],[mTVD
Lower
Marker]]-Table248[[#This Row],[TVD
(m)]])</f>
        <v>7.75</v>
      </c>
      <c r="U217" s="39">
        <v>2782.07</v>
      </c>
      <c r="V217" s="39">
        <f>ABS(Table248[[#This Row],[mTVD
Upper
Marker]]-Table248[[#This Row],[TVD
(m)]])</f>
        <v>2.25</v>
      </c>
      <c r="W217" s="37" cm="1">
        <f t="array" ref="W217">CheckYellowFill(Table248[[#This Row],[MD
(m)]])</f>
        <v>0</v>
      </c>
      <c r="X217" s="39" cm="1">
        <f t="array" ref="X217">isfontcolorred(Table248[[#This Row],[MD
(m)]])</f>
        <v>0</v>
      </c>
      <c r="Y217" s="37">
        <f>IF(Table248[[#This Row],[Plug Depth
Plan
(m)]]&lt;&gt;0,1,0)</f>
        <v>0</v>
      </c>
      <c r="Z217" s="39"/>
      <c r="AA217" s="40" t="str">
        <f>IF(Table248[[#This Row],[Plug Depth
Plan
(m)]]=0,"",ABS(Table248[[#This Row],[Plug Depth
Plan
(m)]]-Table248[[#This Row],[MD
(m)]]))</f>
        <v/>
      </c>
    </row>
    <row r="218" spans="1:28" ht="16" thickBot="1" x14ac:dyDescent="0.25">
      <c r="A218" s="53">
        <v>4020.4</v>
      </c>
      <c r="B218" s="21">
        <v>2784.3364056571231</v>
      </c>
      <c r="C218" s="3"/>
      <c r="D218" s="3"/>
      <c r="E218" s="8"/>
      <c r="F218" s="48"/>
      <c r="G218" s="48"/>
      <c r="H218" s="48"/>
      <c r="I218" s="48"/>
      <c r="J218" s="7"/>
      <c r="K218" s="3"/>
      <c r="L218" s="3"/>
      <c r="M218" s="3"/>
      <c r="N218" s="8"/>
      <c r="O218" s="50"/>
      <c r="P218" s="50"/>
      <c r="Q218" s="50"/>
      <c r="R218" s="50"/>
      <c r="S218" s="39"/>
      <c r="T218" s="39"/>
      <c r="U218" s="39"/>
      <c r="V218" s="39"/>
      <c r="W218" s="37" cm="1">
        <f t="array" ref="W218">CheckYellowFill(Table248[[#This Row],[MD
(m)]])</f>
        <v>0</v>
      </c>
      <c r="X218" s="39" cm="1">
        <f t="array" ref="X218">isfontcolorred(Table248[[#This Row],[MD
(m)]])</f>
        <v>1</v>
      </c>
      <c r="Y218" s="37">
        <f>IF(Table248[[#This Row],[Plug Depth
Plan
(m)]]&lt;&gt;0,1,0)</f>
        <v>0</v>
      </c>
      <c r="Z218" s="39"/>
      <c r="AA218" s="40" t="str">
        <f>IF(Table248[[#This Row],[Plug Depth
Plan
(m)]]=0,"",ABS(Table248[[#This Row],[Plug Depth
Plan
(m)]]-Table248[[#This Row],[MD
(m)]]))</f>
        <v/>
      </c>
      <c r="AB218" s="28">
        <v>10645</v>
      </c>
    </row>
    <row r="219" spans="1:28" ht="16" thickBot="1" x14ac:dyDescent="0.25">
      <c r="A219" s="52">
        <v>4032.9</v>
      </c>
      <c r="B219" s="20">
        <v>2784.5131907554328</v>
      </c>
      <c r="C219" s="3"/>
      <c r="D219" s="3"/>
      <c r="E219" s="8"/>
      <c r="F219" s="48"/>
      <c r="G219" s="48"/>
      <c r="H219" s="48"/>
      <c r="I219" s="48"/>
      <c r="J219" s="7"/>
      <c r="K219" s="3"/>
      <c r="L219" s="3"/>
      <c r="M219" s="3"/>
      <c r="N219" s="8"/>
      <c r="O219" s="50"/>
      <c r="P219" s="50"/>
      <c r="Q219" s="50"/>
      <c r="R219" s="50"/>
      <c r="S219" s="39"/>
      <c r="T219" s="39"/>
      <c r="U219" s="39"/>
      <c r="V219" s="39"/>
      <c r="W219" s="37" cm="1">
        <f t="array" ref="W219">CheckYellowFill(Table248[[#This Row],[MD
(m)]])</f>
        <v>0</v>
      </c>
      <c r="X219" s="39" cm="1">
        <f t="array" ref="X219">isfontcolorred(Table248[[#This Row],[MD
(m)]])</f>
        <v>1</v>
      </c>
      <c r="Y219" s="37">
        <f>IF(Table248[[#This Row],[Plug Depth
Plan
(m)]]&lt;&gt;0,1,0)</f>
        <v>0</v>
      </c>
      <c r="Z219" s="39"/>
      <c r="AA219" s="40" t="str">
        <f>IF(Table248[[#This Row],[Plug Depth
Plan
(m)]]=0,"",ABS(Table248[[#This Row],[Plug Depth
Plan
(m)]]-Table248[[#This Row],[MD
(m)]]))</f>
        <v/>
      </c>
      <c r="AB219" s="28">
        <v>10645</v>
      </c>
    </row>
    <row r="220" spans="1:28" ht="16" thickBot="1" x14ac:dyDescent="0.25">
      <c r="A220" s="53">
        <v>4045.4</v>
      </c>
      <c r="B220" s="20">
        <v>2784.6899758537425</v>
      </c>
      <c r="C220" s="3"/>
      <c r="D220" s="3"/>
      <c r="E220" s="8"/>
      <c r="F220" s="48"/>
      <c r="G220" s="48"/>
      <c r="H220" s="48"/>
      <c r="I220" s="48"/>
      <c r="J220" s="7"/>
      <c r="K220" s="3"/>
      <c r="L220" s="3"/>
      <c r="M220" s="3"/>
      <c r="N220" s="8"/>
      <c r="O220" s="50"/>
      <c r="P220" s="50"/>
      <c r="Q220" s="50"/>
      <c r="R220" s="50"/>
      <c r="S220" s="39"/>
      <c r="T220" s="39"/>
      <c r="U220" s="39"/>
      <c r="V220" s="39"/>
      <c r="W220" s="37" cm="1">
        <f t="array" ref="W220">CheckYellowFill(Table248[[#This Row],[MD
(m)]])</f>
        <v>0</v>
      </c>
      <c r="X220" s="39" cm="1">
        <f t="array" ref="X220">isfontcolorred(Table248[[#This Row],[MD
(m)]])</f>
        <v>1</v>
      </c>
      <c r="Y220" s="37">
        <f>IF(Table248[[#This Row],[Plug Depth
Plan
(m)]]&lt;&gt;0,1,0)</f>
        <v>0</v>
      </c>
      <c r="Z220" s="39"/>
      <c r="AA220" s="40" t="str">
        <f>IF(Table248[[#This Row],[Plug Depth
Plan
(m)]]=0,"",ABS(Table248[[#This Row],[Plug Depth
Plan
(m)]]-Table248[[#This Row],[MD
(m)]]))</f>
        <v/>
      </c>
      <c r="AB220" s="28">
        <v>10645</v>
      </c>
    </row>
    <row r="221" spans="1:28" ht="16" thickBot="1" x14ac:dyDescent="0.25">
      <c r="A221" s="3">
        <v>4048.23</v>
      </c>
      <c r="B221" s="9">
        <v>2784.73</v>
      </c>
      <c r="C221" s="3">
        <v>89.29</v>
      </c>
      <c r="D221" s="3">
        <v>358.65</v>
      </c>
      <c r="E221" s="8">
        <v>0.35</v>
      </c>
      <c r="F221" s="69">
        <v>1385.79</v>
      </c>
      <c r="G221" s="69">
        <v>191.01</v>
      </c>
      <c r="H221" s="69">
        <v>0.22</v>
      </c>
      <c r="I221" s="69">
        <v>-0.28000000000000003</v>
      </c>
      <c r="J221" s="7">
        <v>3965.01</v>
      </c>
      <c r="K221" s="3">
        <v>2781.96</v>
      </c>
      <c r="L221" s="3">
        <v>89.777000000000001</v>
      </c>
      <c r="M221" s="3">
        <v>0.05</v>
      </c>
      <c r="N221" s="8">
        <v>0</v>
      </c>
      <c r="O221" s="50">
        <v>1292.69</v>
      </c>
      <c r="P221" s="50">
        <v>188.95</v>
      </c>
      <c r="Q221" s="50">
        <v>0</v>
      </c>
      <c r="R221" s="50">
        <v>0</v>
      </c>
      <c r="S221" s="39">
        <v>2792.48</v>
      </c>
      <c r="T221" s="39">
        <f>ABS(Table248[[#This Row],[mTVD
Lower
Marker]]-Table248[[#This Row],[TVD
(m)]])</f>
        <v>7.75</v>
      </c>
      <c r="U221" s="39">
        <v>2782.48</v>
      </c>
      <c r="V221" s="39">
        <f>ABS(Table248[[#This Row],[mTVD
Upper
Marker]]-Table248[[#This Row],[TVD
(m)]])</f>
        <v>2.25</v>
      </c>
      <c r="W221" s="37" cm="1">
        <f t="array" ref="W221">CheckYellowFill(Table248[[#This Row],[MD
(m)]])</f>
        <v>0</v>
      </c>
      <c r="X221" s="39" cm="1">
        <f t="array" ref="X221">isfontcolorred(Table248[[#This Row],[MD
(m)]])</f>
        <v>0</v>
      </c>
      <c r="Y221" s="37">
        <f>IF(Table248[[#This Row],[Plug Depth
Plan
(m)]]&lt;&gt;0,1,0)</f>
        <v>0</v>
      </c>
      <c r="Z221" s="39"/>
      <c r="AA221" s="40" t="str">
        <f>IF(Table248[[#This Row],[Plug Depth
Plan
(m)]]=0,"",ABS(Table248[[#This Row],[Plug Depth
Plan
(m)]]-Table248[[#This Row],[MD
(m)]]))</f>
        <v/>
      </c>
    </row>
    <row r="222" spans="1:28" ht="16" thickBot="1" x14ac:dyDescent="0.25">
      <c r="A222" s="53">
        <v>4057.9</v>
      </c>
      <c r="B222" s="21">
        <v>2784.8566666666666</v>
      </c>
      <c r="C222" s="3"/>
      <c r="D222" s="3"/>
      <c r="E222" s="8"/>
      <c r="F222" s="48"/>
      <c r="G222" s="48"/>
      <c r="H222" s="48"/>
      <c r="I222" s="48"/>
      <c r="J222" s="7"/>
      <c r="K222" s="3"/>
      <c r="L222" s="3"/>
      <c r="M222" s="3"/>
      <c r="N222" s="8"/>
      <c r="O222" s="50"/>
      <c r="P222" s="50"/>
      <c r="Q222" s="50"/>
      <c r="R222" s="50"/>
      <c r="S222" s="39"/>
      <c r="T222" s="39"/>
      <c r="U222" s="39"/>
      <c r="V222" s="39"/>
      <c r="W222" s="37" cm="1">
        <f t="array" ref="W222">CheckYellowFill(Table248[[#This Row],[MD
(m)]])</f>
        <v>0</v>
      </c>
      <c r="X222" s="39" cm="1">
        <f t="array" ref="X222">isfontcolorred(Table248[[#This Row],[MD
(m)]])</f>
        <v>1</v>
      </c>
      <c r="Y222" s="37">
        <f>IF(Table248[[#This Row],[Plug Depth
Plan
(m)]]&lt;&gt;0,1,0)</f>
        <v>0</v>
      </c>
      <c r="Z222" s="39"/>
      <c r="AA222" s="40" t="str">
        <f>IF(Table248[[#This Row],[Plug Depth
Plan
(m)]]=0,"",ABS(Table248[[#This Row],[Plug Depth
Plan
(m)]]-Table248[[#This Row],[MD
(m)]]))</f>
        <v/>
      </c>
      <c r="AB222" s="28">
        <v>10645</v>
      </c>
    </row>
    <row r="223" spans="1:28" ht="16" thickBot="1" x14ac:dyDescent="0.25">
      <c r="A223" s="55">
        <v>4062.9</v>
      </c>
      <c r="B223" s="58">
        <v>2784.9221613236814</v>
      </c>
      <c r="C223" s="3"/>
      <c r="D223" s="3"/>
      <c r="E223" s="8"/>
      <c r="F223" s="48"/>
      <c r="G223" s="48"/>
      <c r="H223" s="48"/>
      <c r="I223" s="48"/>
      <c r="J223" s="7"/>
      <c r="K223" s="3"/>
      <c r="L223" s="3"/>
      <c r="M223" s="3"/>
      <c r="N223" s="8"/>
      <c r="O223" s="50"/>
      <c r="P223" s="50"/>
      <c r="Q223" s="50"/>
      <c r="R223" s="50"/>
      <c r="S223" s="39"/>
      <c r="T223" s="39"/>
      <c r="U223" s="39"/>
      <c r="V223" s="39"/>
      <c r="W223" s="37" cm="1">
        <f t="array" ref="W223">CheckYellowFill(Table248[[#This Row],[MD
(m)]])</f>
        <v>1</v>
      </c>
      <c r="X223" s="39" cm="1">
        <f t="array" ref="X223">isfontcolorred(Table248[[#This Row],[MD
(m)]])</f>
        <v>0</v>
      </c>
      <c r="Y223" s="37">
        <f>IF(Table248[[#This Row],[Plug Depth
Plan
(m)]]&lt;&gt;0,1,0)</f>
        <v>0</v>
      </c>
      <c r="Z223" s="39"/>
      <c r="AA223" s="40" t="str">
        <f>IF(Table248[[#This Row],[Plug Depth
Plan
(m)]]=0,"",ABS(Table248[[#This Row],[Plug Depth
Plan
(m)]]-Table248[[#This Row],[MD
(m)]]))</f>
        <v/>
      </c>
    </row>
    <row r="224" spans="1:28" ht="16" thickBot="1" x14ac:dyDescent="0.25">
      <c r="A224" s="52">
        <v>4070.4</v>
      </c>
      <c r="B224" s="20">
        <v>2785.0204033092036</v>
      </c>
      <c r="C224" s="3"/>
      <c r="D224" s="3"/>
      <c r="E224" s="8"/>
      <c r="F224" s="48"/>
      <c r="G224" s="48"/>
      <c r="H224" s="48"/>
      <c r="I224" s="48"/>
      <c r="J224" s="7"/>
      <c r="K224" s="3"/>
      <c r="L224" s="3"/>
      <c r="M224" s="3"/>
      <c r="N224" s="8"/>
      <c r="O224" s="50"/>
      <c r="P224" s="50"/>
      <c r="Q224" s="50"/>
      <c r="R224" s="50"/>
      <c r="S224" s="39"/>
      <c r="T224" s="39"/>
      <c r="U224" s="39"/>
      <c r="V224" s="39"/>
      <c r="W224" s="37" cm="1">
        <f t="array" ref="W224">CheckYellowFill(Table248[[#This Row],[MD
(m)]])</f>
        <v>0</v>
      </c>
      <c r="X224" s="39" cm="1">
        <f t="array" ref="X224">isfontcolorred(Table248[[#This Row],[MD
(m)]])</f>
        <v>1</v>
      </c>
      <c r="Y224" s="37">
        <f>IF(Table248[[#This Row],[Plug Depth
Plan
(m)]]&lt;&gt;0,1,0)</f>
        <v>0</v>
      </c>
      <c r="Z224" s="39"/>
      <c r="AA224" s="40" t="str">
        <f>IF(Table248[[#This Row],[Plug Depth
Plan
(m)]]=0,"",ABS(Table248[[#This Row],[Plug Depth
Plan
(m)]]-Table248[[#This Row],[MD
(m)]]))</f>
        <v/>
      </c>
      <c r="AB224" s="28">
        <v>10590</v>
      </c>
    </row>
    <row r="225" spans="1:28" ht="16" thickBot="1" x14ac:dyDescent="0.25">
      <c r="A225" s="3">
        <v>4077.24</v>
      </c>
      <c r="B225" s="9">
        <v>2785.11</v>
      </c>
      <c r="C225" s="3">
        <v>89.2</v>
      </c>
      <c r="D225" s="3">
        <v>0.42</v>
      </c>
      <c r="E225" s="8">
        <v>1.83</v>
      </c>
      <c r="F225" s="69">
        <v>1414.79</v>
      </c>
      <c r="G225" s="69">
        <v>190.78</v>
      </c>
      <c r="H225" s="69">
        <v>-0.09</v>
      </c>
      <c r="I225" s="69">
        <v>1.83</v>
      </c>
      <c r="J225" s="7">
        <v>3995.01</v>
      </c>
      <c r="K225" s="3">
        <v>2782.08</v>
      </c>
      <c r="L225" s="3">
        <v>89.777000000000001</v>
      </c>
      <c r="M225" s="3">
        <v>0.05</v>
      </c>
      <c r="N225" s="8">
        <v>0</v>
      </c>
      <c r="O225" s="50">
        <v>1322.69</v>
      </c>
      <c r="P225" s="50">
        <v>188.98</v>
      </c>
      <c r="Q225" s="50">
        <v>0</v>
      </c>
      <c r="R225" s="50">
        <v>0</v>
      </c>
      <c r="S225" s="39">
        <v>2792.88</v>
      </c>
      <c r="T225" s="39">
        <f>ABS(Table248[[#This Row],[mTVD
Lower
Marker]]-Table248[[#This Row],[TVD
(m)]])</f>
        <v>7.7699999999999818</v>
      </c>
      <c r="U225" s="39">
        <v>2782.88</v>
      </c>
      <c r="V225" s="39">
        <f>ABS(Table248[[#This Row],[mTVD
Upper
Marker]]-Table248[[#This Row],[TVD
(m)]])</f>
        <v>2.2300000000000182</v>
      </c>
      <c r="W225" s="37" cm="1">
        <f t="array" ref="W225">CheckYellowFill(Table248[[#This Row],[MD
(m)]])</f>
        <v>0</v>
      </c>
      <c r="X225" s="39" cm="1">
        <f t="array" ref="X225">isfontcolorred(Table248[[#This Row],[MD
(m)]])</f>
        <v>0</v>
      </c>
      <c r="Y225" s="37">
        <f>IF(Table248[[#This Row],[Plug Depth
Plan
(m)]]&lt;&gt;0,1,0)</f>
        <v>0</v>
      </c>
      <c r="Z225" s="39"/>
      <c r="AA225" s="40" t="str">
        <f>IF(Table248[[#This Row],[Plug Depth
Plan
(m)]]=0,"",ABS(Table248[[#This Row],[Plug Depth
Plan
(m)]]-Table248[[#This Row],[MD
(m)]]))</f>
        <v/>
      </c>
    </row>
    <row r="226" spans="1:28" ht="16" thickBot="1" x14ac:dyDescent="0.25">
      <c r="A226" s="53">
        <v>4082.9</v>
      </c>
      <c r="B226" s="21">
        <v>2785.1805295950157</v>
      </c>
      <c r="C226" s="3"/>
      <c r="D226" s="3"/>
      <c r="E226" s="8"/>
      <c r="F226" s="48"/>
      <c r="G226" s="48"/>
      <c r="H226" s="48"/>
      <c r="I226" s="48"/>
      <c r="J226" s="7"/>
      <c r="K226" s="3"/>
      <c r="L226" s="3"/>
      <c r="M226" s="3"/>
      <c r="N226" s="8"/>
      <c r="O226" s="50"/>
      <c r="P226" s="50"/>
      <c r="Q226" s="50"/>
      <c r="R226" s="50"/>
      <c r="S226" s="39"/>
      <c r="T226" s="39"/>
      <c r="U226" s="39"/>
      <c r="V226" s="39"/>
      <c r="W226" s="37" cm="1">
        <f t="array" ref="W226">CheckYellowFill(Table248[[#This Row],[MD
(m)]])</f>
        <v>0</v>
      </c>
      <c r="X226" s="39" cm="1">
        <f t="array" ref="X226">isfontcolorred(Table248[[#This Row],[MD
(m)]])</f>
        <v>1</v>
      </c>
      <c r="Y226" s="37">
        <f>IF(Table248[[#This Row],[Plug Depth
Plan
(m)]]&lt;&gt;0,1,0)</f>
        <v>0</v>
      </c>
      <c r="Z226" s="39"/>
      <c r="AA226" s="40" t="str">
        <f>IF(Table248[[#This Row],[Plug Depth
Plan
(m)]]=0,"",ABS(Table248[[#This Row],[Plug Depth
Plan
(m)]]-Table248[[#This Row],[MD
(m)]]))</f>
        <v/>
      </c>
      <c r="AB226" s="28">
        <v>10590</v>
      </c>
    </row>
    <row r="227" spans="1:28" ht="16" thickBot="1" x14ac:dyDescent="0.25">
      <c r="A227" s="53">
        <v>4095.4</v>
      </c>
      <c r="B227" s="20">
        <v>2785.3362928348911</v>
      </c>
      <c r="C227" s="3"/>
      <c r="D227" s="3"/>
      <c r="E227" s="8"/>
      <c r="F227" s="48"/>
      <c r="G227" s="48"/>
      <c r="H227" s="48"/>
      <c r="I227" s="48"/>
      <c r="J227" s="7"/>
      <c r="K227" s="3"/>
      <c r="L227" s="3"/>
      <c r="M227" s="3"/>
      <c r="N227" s="8"/>
      <c r="O227" s="50"/>
      <c r="P227" s="50"/>
      <c r="Q227" s="50"/>
      <c r="R227" s="50"/>
      <c r="S227" s="39"/>
      <c r="T227" s="39"/>
      <c r="U227" s="39"/>
      <c r="V227" s="39"/>
      <c r="W227" s="37" cm="1">
        <f t="array" ref="W227">CheckYellowFill(Table248[[#This Row],[MD
(m)]])</f>
        <v>0</v>
      </c>
      <c r="X227" s="39" cm="1">
        <f t="array" ref="X227">isfontcolorred(Table248[[#This Row],[MD
(m)]])</f>
        <v>1</v>
      </c>
      <c r="Y227" s="37">
        <f>IF(Table248[[#This Row],[Plug Depth
Plan
(m)]]&lt;&gt;0,1,0)</f>
        <v>0</v>
      </c>
      <c r="Z227" s="39"/>
      <c r="AA227" s="40" t="str">
        <f>IF(Table248[[#This Row],[Plug Depth
Plan
(m)]]=0,"",ABS(Table248[[#This Row],[Plug Depth
Plan
(m)]]-Table248[[#This Row],[MD
(m)]]))</f>
        <v/>
      </c>
      <c r="AB227" s="28">
        <v>10590</v>
      </c>
    </row>
    <row r="228" spans="1:28" ht="16" thickBot="1" x14ac:dyDescent="0.25">
      <c r="A228" s="3">
        <v>4106.13</v>
      </c>
      <c r="B228" s="9">
        <v>2785.47</v>
      </c>
      <c r="C228" s="3">
        <v>89.38</v>
      </c>
      <c r="D228" s="3">
        <v>1.58</v>
      </c>
      <c r="E228" s="8">
        <v>1.22</v>
      </c>
      <c r="F228" s="69">
        <v>1443.67</v>
      </c>
      <c r="G228" s="69">
        <v>191.28</v>
      </c>
      <c r="H228" s="69">
        <v>0.19</v>
      </c>
      <c r="I228" s="69">
        <v>1.2</v>
      </c>
      <c r="J228" s="7">
        <v>4025.01</v>
      </c>
      <c r="K228" s="3">
        <v>2782.19</v>
      </c>
      <c r="L228" s="3">
        <v>89.777000000000001</v>
      </c>
      <c r="M228" s="3">
        <v>0.05</v>
      </c>
      <c r="N228" s="8">
        <v>0</v>
      </c>
      <c r="O228" s="50">
        <v>1352.69</v>
      </c>
      <c r="P228" s="50">
        <v>189</v>
      </c>
      <c r="Q228" s="50">
        <v>0</v>
      </c>
      <c r="R228" s="50">
        <v>0</v>
      </c>
      <c r="S228" s="39">
        <v>2793.29</v>
      </c>
      <c r="T228" s="39">
        <f>ABS(Table248[[#This Row],[mTVD
Lower
Marker]]-Table248[[#This Row],[TVD
(m)]])</f>
        <v>7.8200000000001637</v>
      </c>
      <c r="U228" s="39">
        <v>2783.29</v>
      </c>
      <c r="V228" s="39">
        <f>ABS(Table248[[#This Row],[mTVD
Upper
Marker]]-Table248[[#This Row],[TVD
(m)]])</f>
        <v>2.1799999999998363</v>
      </c>
      <c r="W228" s="37" cm="1">
        <f t="array" ref="W228">CheckYellowFill(Table248[[#This Row],[MD
(m)]])</f>
        <v>0</v>
      </c>
      <c r="X228" s="39" cm="1">
        <f t="array" ref="X228">isfontcolorred(Table248[[#This Row],[MD
(m)]])</f>
        <v>0</v>
      </c>
      <c r="Y228" s="37">
        <f>IF(Table248[[#This Row],[Plug Depth
Plan
(m)]]&lt;&gt;0,1,0)</f>
        <v>0</v>
      </c>
      <c r="Z228" s="39"/>
      <c r="AA228" s="40" t="str">
        <f>IF(Table248[[#This Row],[Plug Depth
Plan
(m)]]=0,"",ABS(Table248[[#This Row],[Plug Depth
Plan
(m)]]-Table248[[#This Row],[MD
(m)]]))</f>
        <v/>
      </c>
    </row>
    <row r="229" spans="1:28" ht="16" thickBot="1" x14ac:dyDescent="0.25">
      <c r="A229" s="53">
        <v>4107.8999999999996</v>
      </c>
      <c r="B229" s="21">
        <v>2785.4869900582785</v>
      </c>
      <c r="C229" s="3"/>
      <c r="D229" s="3"/>
      <c r="E229" s="8"/>
      <c r="F229" s="48"/>
      <c r="G229" s="48"/>
      <c r="H229" s="48"/>
      <c r="I229" s="48"/>
      <c r="J229" s="7"/>
      <c r="K229" s="3"/>
      <c r="L229" s="3"/>
      <c r="M229" s="3"/>
      <c r="N229" s="8"/>
      <c r="O229" s="50"/>
      <c r="P229" s="50"/>
      <c r="Q229" s="50"/>
      <c r="R229" s="50"/>
      <c r="S229" s="39"/>
      <c r="T229" s="39"/>
      <c r="U229" s="39"/>
      <c r="V229" s="39"/>
      <c r="W229" s="37" cm="1">
        <f t="array" ref="W229">CheckYellowFill(Table248[[#This Row],[MD
(m)]])</f>
        <v>0</v>
      </c>
      <c r="X229" s="39" cm="1">
        <f t="array" ref="X229">isfontcolorred(Table248[[#This Row],[MD
(m)]])</f>
        <v>1</v>
      </c>
      <c r="Y229" s="37">
        <f>IF(Table248[[#This Row],[Plug Depth
Plan
(m)]]&lt;&gt;0,1,0)</f>
        <v>0</v>
      </c>
      <c r="Z229" s="39"/>
      <c r="AA229" s="40" t="str">
        <f>IF(Table248[[#This Row],[Plug Depth
Plan
(m)]]=0,"",ABS(Table248[[#This Row],[Plug Depth
Plan
(m)]]-Table248[[#This Row],[MD
(m)]]))</f>
        <v/>
      </c>
      <c r="AB229" s="28">
        <v>10590</v>
      </c>
    </row>
    <row r="230" spans="1:28" ht="16" thickBot="1" x14ac:dyDescent="0.25">
      <c r="A230" s="65">
        <v>4112.8999999999996</v>
      </c>
      <c r="B230" s="58">
        <v>2785.5349845731912</v>
      </c>
      <c r="C230" s="3"/>
      <c r="D230" s="3"/>
      <c r="E230" s="8"/>
      <c r="F230" s="48"/>
      <c r="G230" s="48"/>
      <c r="H230" s="48"/>
      <c r="I230" s="48"/>
      <c r="J230" s="7"/>
      <c r="K230" s="3"/>
      <c r="L230" s="3"/>
      <c r="M230" s="3"/>
      <c r="N230" s="8"/>
      <c r="O230" s="50"/>
      <c r="P230" s="50"/>
      <c r="Q230" s="50"/>
      <c r="R230" s="50"/>
      <c r="S230" s="39"/>
      <c r="T230" s="39"/>
      <c r="U230" s="39"/>
      <c r="V230" s="39"/>
      <c r="W230" s="37" cm="1">
        <f t="array" ref="W230">CheckYellowFill(Table248[[#This Row],[MD
(m)]])</f>
        <v>1</v>
      </c>
      <c r="X230" s="39" cm="1">
        <f t="array" ref="X230">isfontcolorred(Table248[[#This Row],[MD
(m)]])</f>
        <v>0</v>
      </c>
      <c r="Y230" s="37">
        <f>IF(Table248[[#This Row],[Plug Depth
Plan
(m)]]&lt;&gt;0,1,0)</f>
        <v>1</v>
      </c>
      <c r="Z230" s="39">
        <v>4208.3</v>
      </c>
      <c r="AA230" s="40">
        <f>IF(Table248[[#This Row],[Plug Depth
Plan
(m)]]=0,"",ABS(Table248[[#This Row],[Plug Depth
Plan
(m)]]-Table248[[#This Row],[MD
(m)]]))</f>
        <v>95.400000000000546</v>
      </c>
    </row>
    <row r="231" spans="1:28" ht="16" thickBot="1" x14ac:dyDescent="0.25">
      <c r="A231" s="3">
        <v>4135.3</v>
      </c>
      <c r="B231" s="9">
        <v>2785.75</v>
      </c>
      <c r="C231" s="3">
        <v>89.51</v>
      </c>
      <c r="D231" s="3">
        <v>0.42</v>
      </c>
      <c r="E231" s="8">
        <v>1.2</v>
      </c>
      <c r="F231" s="69">
        <v>1472.84</v>
      </c>
      <c r="G231" s="69">
        <v>191.79</v>
      </c>
      <c r="H231" s="69">
        <v>0.13</v>
      </c>
      <c r="I231" s="69">
        <v>-1.19</v>
      </c>
      <c r="J231" s="7">
        <v>4055.01</v>
      </c>
      <c r="K231" s="3">
        <v>2782.31</v>
      </c>
      <c r="L231" s="3">
        <v>89.777000000000001</v>
      </c>
      <c r="M231" s="3">
        <v>0.05</v>
      </c>
      <c r="N231" s="8">
        <v>0</v>
      </c>
      <c r="O231" s="50">
        <v>1382.69</v>
      </c>
      <c r="P231" s="50">
        <v>189.03</v>
      </c>
      <c r="Q231" s="50">
        <v>0</v>
      </c>
      <c r="R231" s="50">
        <v>0</v>
      </c>
      <c r="S231" s="39">
        <v>2793.7</v>
      </c>
      <c r="T231" s="39">
        <f>ABS(Table248[[#This Row],[mTVD
Lower
Marker]]-Table248[[#This Row],[TVD
(m)]])</f>
        <v>7.9499999999998181</v>
      </c>
      <c r="U231" s="39">
        <v>2783.7</v>
      </c>
      <c r="V231" s="39">
        <f>ABS(Table248[[#This Row],[mTVD
Upper
Marker]]-Table248[[#This Row],[TVD
(m)]])</f>
        <v>2.0500000000001819</v>
      </c>
      <c r="W231" s="37" cm="1">
        <f t="array" ref="W231">CheckYellowFill(Table248[[#This Row],[MD
(m)]])</f>
        <v>0</v>
      </c>
      <c r="X231" s="39" cm="1">
        <f t="array" ref="X231">isfontcolorred(Table248[[#This Row],[MD
(m)]])</f>
        <v>0</v>
      </c>
      <c r="Y231" s="37">
        <v>1</v>
      </c>
      <c r="Z231" s="39"/>
      <c r="AA231" s="40" t="str">
        <f>IF(Table248[[#This Row],[Plug Depth
Plan
(m)]]=0,"",ABS(Table248[[#This Row],[Plug Depth
Plan
(m)]]-Table248[[#This Row],[MD
(m)]]))</f>
        <v/>
      </c>
    </row>
    <row r="232" spans="1:28" ht="16" thickBot="1" x14ac:dyDescent="0.25">
      <c r="A232" s="22">
        <v>4164.16</v>
      </c>
      <c r="B232" s="9">
        <v>2786.07</v>
      </c>
      <c r="C232" s="3">
        <v>89.23</v>
      </c>
      <c r="D232" s="3">
        <v>0.45</v>
      </c>
      <c r="E232" s="8">
        <v>0.28999999999999998</v>
      </c>
      <c r="F232" s="69">
        <v>1501.7</v>
      </c>
      <c r="G232" s="69">
        <v>192.01</v>
      </c>
      <c r="H232" s="69">
        <v>-0.28999999999999998</v>
      </c>
      <c r="I232" s="69">
        <v>0.03</v>
      </c>
      <c r="J232" s="7">
        <v>4085.01</v>
      </c>
      <c r="K232" s="3">
        <v>2782.43</v>
      </c>
      <c r="L232" s="3">
        <v>89.777000000000001</v>
      </c>
      <c r="M232" s="3">
        <v>0.05</v>
      </c>
      <c r="N232" s="8">
        <v>0</v>
      </c>
      <c r="O232" s="50">
        <v>1412.69</v>
      </c>
      <c r="P232" s="50">
        <v>189.06</v>
      </c>
      <c r="Q232" s="50">
        <v>0</v>
      </c>
      <c r="R232" s="50">
        <v>0</v>
      </c>
      <c r="S232" s="39">
        <v>2794.1</v>
      </c>
      <c r="T232" s="39">
        <f>ABS(Table248[[#This Row],[mTVD
Lower
Marker]]-Table248[[#This Row],[TVD
(m)]])</f>
        <v>8.0299999999997453</v>
      </c>
      <c r="U232" s="39">
        <v>2784.1</v>
      </c>
      <c r="V232" s="39">
        <f>ABS(Table248[[#This Row],[mTVD
Upper
Marker]]-Table248[[#This Row],[TVD
(m)]])</f>
        <v>1.9700000000002547</v>
      </c>
      <c r="W232" s="37" cm="1">
        <f t="array" ref="W232">CheckYellowFill(Table248[[#This Row],[MD
(m)]])</f>
        <v>0</v>
      </c>
      <c r="X232" s="39" cm="1">
        <f t="array" ref="X232">isfontcolorred(Table248[[#This Row],[MD
(m)]])</f>
        <v>0</v>
      </c>
      <c r="Y232" s="37">
        <v>1</v>
      </c>
      <c r="Z232" s="39"/>
      <c r="AA232" s="40" t="str">
        <f>IF(Table248[[#This Row],[Plug Depth
Plan
(m)]]=0,"",ABS(Table248[[#This Row],[Plug Depth
Plan
(m)]]-Table248[[#This Row],[MD
(m)]]))</f>
        <v/>
      </c>
    </row>
    <row r="233" spans="1:28" ht="16" thickBot="1" x14ac:dyDescent="0.25">
      <c r="A233" s="22">
        <v>4193.21</v>
      </c>
      <c r="B233" s="9">
        <v>2786.33</v>
      </c>
      <c r="C233" s="3">
        <v>89.75</v>
      </c>
      <c r="D233" s="3">
        <v>1.82</v>
      </c>
      <c r="E233" s="8">
        <v>1.51</v>
      </c>
      <c r="F233" s="69">
        <v>1530.74</v>
      </c>
      <c r="G233" s="69">
        <v>192.58</v>
      </c>
      <c r="H233" s="69">
        <v>0.54</v>
      </c>
      <c r="I233" s="69">
        <v>1.41</v>
      </c>
      <c r="J233" s="7">
        <v>4115.01</v>
      </c>
      <c r="K233" s="3">
        <v>2782.54</v>
      </c>
      <c r="L233" s="3">
        <v>89.777000000000001</v>
      </c>
      <c r="M233" s="3">
        <v>0.05</v>
      </c>
      <c r="N233" s="8">
        <v>0</v>
      </c>
      <c r="O233" s="50">
        <v>1442.69</v>
      </c>
      <c r="P233" s="50">
        <v>189.08</v>
      </c>
      <c r="Q233" s="50">
        <v>0</v>
      </c>
      <c r="R233" s="50">
        <v>0</v>
      </c>
      <c r="S233" s="39">
        <v>2794.21</v>
      </c>
      <c r="T233" s="39">
        <f>ABS(Table248[[#This Row],[mTVD
Lower
Marker]]-Table248[[#This Row],[TVD
(m)]])</f>
        <v>7.8800000000001091</v>
      </c>
      <c r="U233" s="39">
        <v>2784.21</v>
      </c>
      <c r="V233" s="39">
        <f>ABS(Table248[[#This Row],[mTVD
Upper
Marker]]-Table248[[#This Row],[TVD
(m)]])</f>
        <v>2.1199999999998909</v>
      </c>
      <c r="W233" s="37" cm="1">
        <f t="array" ref="W233">CheckYellowFill(Table248[[#This Row],[MD
(m)]])</f>
        <v>0</v>
      </c>
      <c r="X233" s="39" cm="1">
        <f t="array" ref="X233">isfontcolorred(Table248[[#This Row],[MD
(m)]])</f>
        <v>0</v>
      </c>
      <c r="Y233" s="37">
        <v>1</v>
      </c>
      <c r="Z233" s="39"/>
      <c r="AA233" s="40" t="str">
        <f>IF(Table248[[#This Row],[Plug Depth
Plan
(m)]]=0,"",ABS(Table248[[#This Row],[Plug Depth
Plan
(m)]]-Table248[[#This Row],[MD
(m)]]))</f>
        <v/>
      </c>
    </row>
    <row r="234" spans="1:28" ht="16" thickBot="1" x14ac:dyDescent="0.25">
      <c r="A234" s="54">
        <v>4208.3</v>
      </c>
      <c r="B234" s="20">
        <v>2786.2772930492488</v>
      </c>
      <c r="C234" s="3"/>
      <c r="D234" s="3"/>
      <c r="E234" s="8"/>
      <c r="F234" s="48"/>
      <c r="G234" s="48"/>
      <c r="H234" s="48"/>
      <c r="I234" s="48"/>
      <c r="J234" s="7"/>
      <c r="K234" s="3"/>
      <c r="L234" s="3"/>
      <c r="M234" s="3"/>
      <c r="N234" s="8"/>
      <c r="O234" s="50"/>
      <c r="P234" s="50"/>
      <c r="Q234" s="50"/>
      <c r="R234" s="50"/>
      <c r="S234" s="39"/>
      <c r="T234" s="39"/>
      <c r="U234" s="39"/>
      <c r="V234" s="39"/>
      <c r="W234" s="37" cm="1">
        <f t="array" ref="W234">CheckYellowFill(Table248[[#This Row],[MD
(m)]])</f>
        <v>0</v>
      </c>
      <c r="X234" s="39" cm="1">
        <f t="array" ref="X234">isfontcolorred(Table248[[#This Row],[MD
(m)]])</f>
        <v>1</v>
      </c>
      <c r="Y234" s="37">
        <v>1</v>
      </c>
      <c r="Z234" s="39"/>
      <c r="AA234" s="40" t="str">
        <f>IF(Table248[[#This Row],[Plug Depth
Plan
(m)]]=0,"",ABS(Table248[[#This Row],[Plug Depth
Plan
(m)]]-Table248[[#This Row],[MD
(m)]]))</f>
        <v/>
      </c>
      <c r="AB234" s="28">
        <v>10641</v>
      </c>
    </row>
    <row r="235" spans="1:28" ht="16" thickBot="1" x14ac:dyDescent="0.25">
      <c r="A235" s="54">
        <v>4215.8</v>
      </c>
      <c r="B235" s="20">
        <v>2786.2510967516591</v>
      </c>
      <c r="C235" s="3"/>
      <c r="D235" s="3"/>
      <c r="E235" s="8"/>
      <c r="F235" s="48"/>
      <c r="G235" s="48"/>
      <c r="H235" s="48"/>
      <c r="I235" s="48"/>
      <c r="J235" s="7"/>
      <c r="K235" s="3"/>
      <c r="L235" s="3"/>
      <c r="M235" s="3"/>
      <c r="N235" s="8"/>
      <c r="O235" s="50"/>
      <c r="P235" s="50"/>
      <c r="Q235" s="50"/>
      <c r="R235" s="50"/>
      <c r="S235" s="39"/>
      <c r="T235" s="39"/>
      <c r="U235" s="39"/>
      <c r="V235" s="39"/>
      <c r="W235" s="37" cm="1">
        <f t="array" ref="W235">CheckYellowFill(Table248[[#This Row],[MD
(m)]])</f>
        <v>0</v>
      </c>
      <c r="X235" s="39" cm="1">
        <f t="array" ref="X235">isfontcolorred(Table248[[#This Row],[MD
(m)]])</f>
        <v>1</v>
      </c>
      <c r="Y235" s="37">
        <f>IF(Table248[[#This Row],[Plug Depth
Plan
(m)]]&lt;&gt;0,1,0)</f>
        <v>0</v>
      </c>
      <c r="Z235" s="39"/>
      <c r="AA235" s="40" t="str">
        <f>IF(Table248[[#This Row],[Plug Depth
Plan
(m)]]=0,"",ABS(Table248[[#This Row],[Plug Depth
Plan
(m)]]-Table248[[#This Row],[MD
(m)]]))</f>
        <v/>
      </c>
      <c r="AB235" s="28">
        <v>10641</v>
      </c>
    </row>
    <row r="236" spans="1:28" ht="16" thickBot="1" x14ac:dyDescent="0.25">
      <c r="A236" s="22">
        <v>4221.84</v>
      </c>
      <c r="B236" s="9">
        <v>2786.23</v>
      </c>
      <c r="C236" s="3">
        <v>90.65</v>
      </c>
      <c r="D236" s="3">
        <v>1.04</v>
      </c>
      <c r="E236" s="8">
        <v>1.25</v>
      </c>
      <c r="F236" s="69">
        <v>1559.36</v>
      </c>
      <c r="G236" s="69">
        <v>193.3</v>
      </c>
      <c r="H236" s="69">
        <v>0.94</v>
      </c>
      <c r="I236" s="69">
        <v>-0.82</v>
      </c>
      <c r="J236" s="7">
        <v>4145.01</v>
      </c>
      <c r="K236" s="3">
        <v>2782.66</v>
      </c>
      <c r="L236" s="3">
        <v>89.777000000000001</v>
      </c>
      <c r="M236" s="3">
        <v>0.05</v>
      </c>
      <c r="N236" s="8">
        <v>0</v>
      </c>
      <c r="O236" s="50">
        <v>1472.69</v>
      </c>
      <c r="P236" s="50">
        <v>189.11</v>
      </c>
      <c r="Q236" s="50">
        <v>0</v>
      </c>
      <c r="R236" s="50">
        <v>0</v>
      </c>
      <c r="S236" s="39">
        <v>2793.97</v>
      </c>
      <c r="T236" s="39">
        <f>ABS(Table248[[#This Row],[mTVD
Lower
Marker]]-Table248[[#This Row],[TVD
(m)]])</f>
        <v>7.7399999999997817</v>
      </c>
      <c r="U236" s="39">
        <v>2783.97</v>
      </c>
      <c r="V236" s="39">
        <f>ABS(Table248[[#This Row],[mTVD
Upper
Marker]]-Table248[[#This Row],[TVD
(m)]])</f>
        <v>2.2600000000002183</v>
      </c>
      <c r="W236" s="37" cm="1">
        <f t="array" ref="W236">CheckYellowFill(Table248[[#This Row],[MD
(m)]])</f>
        <v>0</v>
      </c>
      <c r="X236" s="39" cm="1">
        <f t="array" ref="X236">isfontcolorred(Table248[[#This Row],[MD
(m)]])</f>
        <v>0</v>
      </c>
      <c r="Y236" s="37">
        <f>IF(Table248[[#This Row],[Plug Depth
Plan
(m)]]&lt;&gt;0,1,0)</f>
        <v>0</v>
      </c>
      <c r="Z236" s="39"/>
      <c r="AA236" s="40" t="str">
        <f>IF(Table248[[#This Row],[Plug Depth
Plan
(m)]]=0,"",ABS(Table248[[#This Row],[Plug Depth
Plan
(m)]]-Table248[[#This Row],[MD
(m)]]))</f>
        <v/>
      </c>
    </row>
    <row r="237" spans="1:28" ht="16" thickBot="1" x14ac:dyDescent="0.25">
      <c r="A237" s="51">
        <v>4228.3</v>
      </c>
      <c r="B237" s="20">
        <v>2786.1422160278744</v>
      </c>
      <c r="C237" s="3"/>
      <c r="D237" s="3"/>
      <c r="E237" s="8"/>
      <c r="F237" s="48"/>
      <c r="G237" s="48"/>
      <c r="H237" s="48"/>
      <c r="I237" s="48"/>
      <c r="J237" s="7"/>
      <c r="K237" s="3"/>
      <c r="L237" s="3"/>
      <c r="M237" s="3"/>
      <c r="N237" s="8"/>
      <c r="O237" s="50"/>
      <c r="P237" s="50"/>
      <c r="Q237" s="50"/>
      <c r="R237" s="50"/>
      <c r="S237" s="39"/>
      <c r="T237" s="39"/>
      <c r="U237" s="39"/>
      <c r="V237" s="39"/>
      <c r="W237" s="37" cm="1">
        <f t="array" ref="W237">CheckYellowFill(Table248[[#This Row],[MD
(m)]])</f>
        <v>0</v>
      </c>
      <c r="X237" s="39" cm="1">
        <f t="array" ref="X237">isfontcolorred(Table248[[#This Row],[MD
(m)]])</f>
        <v>1</v>
      </c>
      <c r="Y237" s="37">
        <f>IF(Table248[[#This Row],[Plug Depth
Plan
(m)]]&lt;&gt;0,1,0)</f>
        <v>0</v>
      </c>
      <c r="Z237" s="39"/>
      <c r="AA237" s="40" t="str">
        <f>IF(Table248[[#This Row],[Plug Depth
Plan
(m)]]=0,"",ABS(Table248[[#This Row],[Plug Depth
Plan
(m)]]-Table248[[#This Row],[MD
(m)]]))</f>
        <v/>
      </c>
      <c r="AB237" s="28">
        <v>10641</v>
      </c>
    </row>
    <row r="238" spans="1:28" ht="16" thickBot="1" x14ac:dyDescent="0.25">
      <c r="A238" s="54">
        <v>4240.8</v>
      </c>
      <c r="B238" s="20">
        <v>2785.9723554006964</v>
      </c>
      <c r="C238" s="3"/>
      <c r="D238" s="3"/>
      <c r="E238" s="8"/>
      <c r="F238" s="48"/>
      <c r="G238" s="48"/>
      <c r="H238" s="48"/>
      <c r="I238" s="48"/>
      <c r="J238" s="7"/>
      <c r="K238" s="3"/>
      <c r="L238" s="3"/>
      <c r="M238" s="3"/>
      <c r="N238" s="8"/>
      <c r="O238" s="50"/>
      <c r="P238" s="50"/>
      <c r="Q238" s="50"/>
      <c r="R238" s="50"/>
      <c r="S238" s="39"/>
      <c r="T238" s="39"/>
      <c r="U238" s="39"/>
      <c r="V238" s="39"/>
      <c r="W238" s="37" cm="1">
        <f t="array" ref="W238">CheckYellowFill(Table248[[#This Row],[MD
(m)]])</f>
        <v>0</v>
      </c>
      <c r="X238" s="39" cm="1">
        <f t="array" ref="X238">isfontcolorred(Table248[[#This Row],[MD
(m)]])</f>
        <v>1</v>
      </c>
      <c r="Y238" s="37">
        <f>IF(Table248[[#This Row],[Plug Depth
Plan
(m)]]&lt;&gt;0,1,0)</f>
        <v>0</v>
      </c>
      <c r="Z238" s="39"/>
      <c r="AA238" s="40" t="str">
        <f>IF(Table248[[#This Row],[Plug Depth
Plan
(m)]]=0,"",ABS(Table248[[#This Row],[Plug Depth
Plan
(m)]]-Table248[[#This Row],[MD
(m)]]))</f>
        <v/>
      </c>
      <c r="AB238" s="28">
        <v>10641</v>
      </c>
    </row>
    <row r="239" spans="1:28" ht="16" thickBot="1" x14ac:dyDescent="0.25">
      <c r="A239" s="22">
        <v>4250.54</v>
      </c>
      <c r="B239" s="9">
        <v>2785.84</v>
      </c>
      <c r="C239" s="3">
        <v>90.92</v>
      </c>
      <c r="D239" s="3">
        <v>3.66</v>
      </c>
      <c r="E239" s="8">
        <v>2.75</v>
      </c>
      <c r="F239" s="69">
        <v>1588.03</v>
      </c>
      <c r="G239" s="69">
        <v>194.47</v>
      </c>
      <c r="H239" s="69">
        <v>0.28000000000000003</v>
      </c>
      <c r="I239" s="69">
        <v>2.74</v>
      </c>
      <c r="J239" s="7">
        <v>4175.01</v>
      </c>
      <c r="K239" s="3">
        <v>2782.78</v>
      </c>
      <c r="L239" s="3">
        <v>89.777000000000001</v>
      </c>
      <c r="M239" s="3">
        <v>0.05</v>
      </c>
      <c r="N239" s="8">
        <v>0</v>
      </c>
      <c r="O239" s="50">
        <v>1502.69</v>
      </c>
      <c r="P239" s="50">
        <v>189.14</v>
      </c>
      <c r="Q239" s="50">
        <v>0</v>
      </c>
      <c r="R239" s="50">
        <v>0</v>
      </c>
      <c r="S239" s="39">
        <v>2793.73</v>
      </c>
      <c r="T239" s="39">
        <f>ABS(Table248[[#This Row],[mTVD
Lower
Marker]]-Table248[[#This Row],[TVD
(m)]])</f>
        <v>7.8899999999998727</v>
      </c>
      <c r="U239" s="39">
        <v>2783.73</v>
      </c>
      <c r="V239" s="39">
        <f>ABS(Table248[[#This Row],[mTVD
Upper
Marker]]-Table248[[#This Row],[TVD
(m)]])</f>
        <v>2.1100000000001273</v>
      </c>
      <c r="W239" s="37" cm="1">
        <f t="array" ref="W239">CheckYellowFill(Table248[[#This Row],[MD
(m)]])</f>
        <v>0</v>
      </c>
      <c r="X239" s="39" cm="1">
        <f t="array" ref="X239">isfontcolorred(Table248[[#This Row],[MD
(m)]])</f>
        <v>0</v>
      </c>
      <c r="Y239" s="37">
        <f>IF(Table248[[#This Row],[Plug Depth
Plan
(m)]]&lt;&gt;0,1,0)</f>
        <v>0</v>
      </c>
      <c r="Z239" s="39"/>
      <c r="AA239" s="40" t="str">
        <f>IF(Table248[[#This Row],[Plug Depth
Plan
(m)]]=0,"",ABS(Table248[[#This Row],[Plug Depth
Plan
(m)]]-Table248[[#This Row],[MD
(m)]]))</f>
        <v/>
      </c>
    </row>
    <row r="240" spans="1:28" ht="16" thickBot="1" x14ac:dyDescent="0.25">
      <c r="A240" s="54">
        <v>4253.3</v>
      </c>
      <c r="B240" s="20">
        <v>2785.8076413793106</v>
      </c>
      <c r="C240" s="3"/>
      <c r="D240" s="3"/>
      <c r="E240" s="8"/>
      <c r="F240" s="48"/>
      <c r="G240" s="48"/>
      <c r="H240" s="48"/>
      <c r="I240" s="48"/>
      <c r="J240" s="7"/>
      <c r="K240" s="3"/>
      <c r="L240" s="3"/>
      <c r="M240" s="3"/>
      <c r="N240" s="8"/>
      <c r="O240" s="50"/>
      <c r="P240" s="50"/>
      <c r="Q240" s="50"/>
      <c r="R240" s="50"/>
      <c r="S240" s="39"/>
      <c r="T240" s="39"/>
      <c r="U240" s="39"/>
      <c r="V240" s="39"/>
      <c r="W240" s="37" cm="1">
        <f t="array" ref="W240">CheckYellowFill(Table248[[#This Row],[MD
(m)]])</f>
        <v>0</v>
      </c>
      <c r="X240" s="39" cm="1">
        <f t="array" ref="X240">isfontcolorred(Table248[[#This Row],[MD
(m)]])</f>
        <v>1</v>
      </c>
      <c r="Y240" s="37">
        <f>IF(Table248[[#This Row],[Plug Depth
Plan
(m)]]&lt;&gt;0,1,0)</f>
        <v>0</v>
      </c>
      <c r="Z240" s="39"/>
      <c r="AA240" s="40" t="str">
        <f>IF(Table248[[#This Row],[Plug Depth
Plan
(m)]]=0,"",ABS(Table248[[#This Row],[Plug Depth
Plan
(m)]]-Table248[[#This Row],[MD
(m)]]))</f>
        <v/>
      </c>
      <c r="AB240" s="28">
        <v>10641</v>
      </c>
    </row>
    <row r="241" spans="1:28" ht="16" thickBot="1" x14ac:dyDescent="0.25">
      <c r="A241" s="51">
        <v>4265.8</v>
      </c>
      <c r="B241" s="20">
        <v>2785.6610896551724</v>
      </c>
      <c r="C241" s="3"/>
      <c r="D241" s="3"/>
      <c r="E241" s="8"/>
      <c r="F241" s="48"/>
      <c r="G241" s="48"/>
      <c r="H241" s="48"/>
      <c r="I241" s="48"/>
      <c r="J241" s="7"/>
      <c r="K241" s="3"/>
      <c r="L241" s="3"/>
      <c r="M241" s="3"/>
      <c r="N241" s="8"/>
      <c r="O241" s="50"/>
      <c r="P241" s="50"/>
      <c r="Q241" s="50"/>
      <c r="R241" s="50"/>
      <c r="S241" s="39"/>
      <c r="T241" s="39"/>
      <c r="U241" s="39"/>
      <c r="V241" s="39"/>
      <c r="W241" s="37" cm="1">
        <f t="array" ref="W241">CheckYellowFill(Table248[[#This Row],[MD
(m)]])</f>
        <v>0</v>
      </c>
      <c r="X241" s="39" cm="1">
        <f t="array" ref="X241">isfontcolorred(Table248[[#This Row],[MD
(m)]])</f>
        <v>1</v>
      </c>
      <c r="Y241" s="37">
        <f>IF(Table248[[#This Row],[Plug Depth
Plan
(m)]]&lt;&gt;0,1,0)</f>
        <v>0</v>
      </c>
      <c r="Z241" s="39"/>
      <c r="AA241" s="40" t="str">
        <f>IF(Table248[[#This Row],[Plug Depth
Plan
(m)]]=0,"",ABS(Table248[[#This Row],[Plug Depth
Plan
(m)]]-Table248[[#This Row],[MD
(m)]]))</f>
        <v/>
      </c>
      <c r="AB241" s="28">
        <v>9045</v>
      </c>
    </row>
    <row r="242" spans="1:28" ht="16" thickBot="1" x14ac:dyDescent="0.25">
      <c r="A242" s="54">
        <v>4278.3</v>
      </c>
      <c r="B242" s="20">
        <v>2785.5145379310347</v>
      </c>
      <c r="C242" s="3"/>
      <c r="D242" s="3"/>
      <c r="E242" s="8"/>
      <c r="F242" s="48"/>
      <c r="G242" s="48"/>
      <c r="H242" s="48"/>
      <c r="I242" s="48"/>
      <c r="J242" s="7"/>
      <c r="K242" s="3"/>
      <c r="L242" s="3"/>
      <c r="M242" s="3"/>
      <c r="N242" s="8"/>
      <c r="O242" s="50"/>
      <c r="P242" s="50"/>
      <c r="Q242" s="50"/>
      <c r="R242" s="50"/>
      <c r="S242" s="39"/>
      <c r="T242" s="39"/>
      <c r="U242" s="39"/>
      <c r="V242" s="39"/>
      <c r="W242" s="37" cm="1">
        <f t="array" ref="W242">CheckYellowFill(Table248[[#This Row],[MD
(m)]])</f>
        <v>0</v>
      </c>
      <c r="X242" s="39" cm="1">
        <f t="array" ref="X242">isfontcolorred(Table248[[#This Row],[MD
(m)]])</f>
        <v>1</v>
      </c>
      <c r="Y242" s="37">
        <f>IF(Table248[[#This Row],[Plug Depth
Plan
(m)]]&lt;&gt;0,1,0)</f>
        <v>0</v>
      </c>
      <c r="Z242" s="39"/>
      <c r="AA242" s="40" t="str">
        <f>IF(Table248[[#This Row],[Plug Depth
Plan
(m)]]=0,"",ABS(Table248[[#This Row],[Plug Depth
Plan
(m)]]-Table248[[#This Row],[MD
(m)]]))</f>
        <v/>
      </c>
      <c r="AB242" s="28">
        <v>9045</v>
      </c>
    </row>
    <row r="243" spans="1:28" ht="16" thickBot="1" x14ac:dyDescent="0.25">
      <c r="A243" s="22">
        <v>4279.54</v>
      </c>
      <c r="B243" s="9">
        <v>2785.5</v>
      </c>
      <c r="C243" s="3">
        <v>90.43</v>
      </c>
      <c r="D243" s="3">
        <v>0.57999999999999996</v>
      </c>
      <c r="E243" s="8">
        <v>3.23</v>
      </c>
      <c r="F243" s="69">
        <v>1617</v>
      </c>
      <c r="G243" s="69">
        <v>195.55</v>
      </c>
      <c r="H243" s="69">
        <v>-0.51</v>
      </c>
      <c r="I243" s="69">
        <v>-3.19</v>
      </c>
      <c r="J243" s="7">
        <v>4205.01</v>
      </c>
      <c r="K243" s="3">
        <v>2782.89</v>
      </c>
      <c r="L243" s="3">
        <v>89.777000000000001</v>
      </c>
      <c r="M243" s="3">
        <v>0.05</v>
      </c>
      <c r="N243" s="8">
        <v>0</v>
      </c>
      <c r="O243" s="50">
        <v>1532.69</v>
      </c>
      <c r="P243" s="50">
        <v>189.16</v>
      </c>
      <c r="Q243" s="50">
        <v>0</v>
      </c>
      <c r="R243" s="50">
        <v>0</v>
      </c>
      <c r="S243" s="39">
        <v>2793.49</v>
      </c>
      <c r="T243" s="39">
        <f>ABS(Table248[[#This Row],[mTVD
Lower
Marker]]-Table248[[#This Row],[TVD
(m)]])</f>
        <v>7.9899999999997817</v>
      </c>
      <c r="U243" s="39">
        <v>2783.49</v>
      </c>
      <c r="V243" s="39">
        <f>ABS(Table248[[#This Row],[mTVD
Upper
Marker]]-Table248[[#This Row],[TVD
(m)]])</f>
        <v>2.0100000000002183</v>
      </c>
      <c r="W243" s="37" cm="1">
        <f t="array" ref="W243">CheckYellowFill(Table248[[#This Row],[MD
(m)]])</f>
        <v>0</v>
      </c>
      <c r="X243" s="39" cm="1">
        <f t="array" ref="X243">isfontcolorred(Table248[[#This Row],[MD
(m)]])</f>
        <v>0</v>
      </c>
      <c r="Y243" s="37">
        <f>IF(Table248[[#This Row],[Plug Depth
Plan
(m)]]&lt;&gt;0,1,0)</f>
        <v>0</v>
      </c>
      <c r="Z243" s="39"/>
      <c r="AA243" s="40" t="str">
        <f>IF(Table248[[#This Row],[Plug Depth
Plan
(m)]]=0,"",ABS(Table248[[#This Row],[Plug Depth
Plan
(m)]]-Table248[[#This Row],[MD
(m)]]))</f>
        <v/>
      </c>
    </row>
    <row r="244" spans="1:28" ht="16" thickBot="1" x14ac:dyDescent="0.25">
      <c r="A244" s="54">
        <v>4290.8</v>
      </c>
      <c r="B244" s="20">
        <v>2785.3672998266898</v>
      </c>
      <c r="C244" s="3"/>
      <c r="D244" s="3"/>
      <c r="E244" s="8"/>
      <c r="F244" s="48"/>
      <c r="G244" s="48"/>
      <c r="H244" s="48"/>
      <c r="I244" s="48"/>
      <c r="J244" s="7"/>
      <c r="K244" s="3"/>
      <c r="L244" s="3"/>
      <c r="M244" s="3"/>
      <c r="N244" s="8"/>
      <c r="O244" s="50"/>
      <c r="P244" s="50"/>
      <c r="Q244" s="50"/>
      <c r="R244" s="50"/>
      <c r="S244" s="39"/>
      <c r="T244" s="39"/>
      <c r="U244" s="39"/>
      <c r="V244" s="39"/>
      <c r="W244" s="37" cm="1">
        <f t="array" ref="W244">CheckYellowFill(Table248[[#This Row],[MD
(m)]])</f>
        <v>0</v>
      </c>
      <c r="X244" s="39" cm="1">
        <f t="array" ref="X244">isfontcolorred(Table248[[#This Row],[MD
(m)]])</f>
        <v>1</v>
      </c>
      <c r="Y244" s="37">
        <f>IF(Table248[[#This Row],[Plug Depth
Plan
(m)]]&lt;&gt;0,1,0)</f>
        <v>0</v>
      </c>
      <c r="Z244" s="39"/>
      <c r="AA244" s="40" t="str">
        <f>IF(Table248[[#This Row],[Plug Depth
Plan
(m)]]=0,"",ABS(Table248[[#This Row],[Plug Depth
Plan
(m)]]-Table248[[#This Row],[MD
(m)]]))</f>
        <v/>
      </c>
      <c r="AB244" s="28">
        <v>9045</v>
      </c>
    </row>
    <row r="245" spans="1:28" ht="16" thickBot="1" x14ac:dyDescent="0.25">
      <c r="A245" s="54">
        <v>4303.3</v>
      </c>
      <c r="B245" s="20">
        <v>2785.2199861351819</v>
      </c>
      <c r="C245" s="3"/>
      <c r="D245" s="3"/>
      <c r="E245" s="8"/>
      <c r="F245" s="48"/>
      <c r="G245" s="48"/>
      <c r="H245" s="48"/>
      <c r="I245" s="48"/>
      <c r="J245" s="7"/>
      <c r="K245" s="3"/>
      <c r="L245" s="3"/>
      <c r="M245" s="3"/>
      <c r="N245" s="8"/>
      <c r="O245" s="50"/>
      <c r="P245" s="50"/>
      <c r="Q245" s="50"/>
      <c r="R245" s="50"/>
      <c r="S245" s="39"/>
      <c r="T245" s="39"/>
      <c r="U245" s="39"/>
      <c r="V245" s="39"/>
      <c r="W245" s="37" cm="1">
        <f t="array" ref="W245">CheckYellowFill(Table248[[#This Row],[MD
(m)]])</f>
        <v>0</v>
      </c>
      <c r="X245" s="39" cm="1">
        <f t="array" ref="X245">isfontcolorred(Table248[[#This Row],[MD
(m)]])</f>
        <v>1</v>
      </c>
      <c r="Y245" s="37">
        <f>IF(Table248[[#This Row],[Plug Depth
Plan
(m)]]&lt;&gt;0,1,0)</f>
        <v>0</v>
      </c>
      <c r="Z245" s="39"/>
      <c r="AA245" s="40" t="str">
        <f>IF(Table248[[#This Row],[Plug Depth
Plan
(m)]]=0,"",ABS(Table248[[#This Row],[Plug Depth
Plan
(m)]]-Table248[[#This Row],[MD
(m)]]))</f>
        <v/>
      </c>
      <c r="AB245" s="28">
        <v>9045</v>
      </c>
    </row>
    <row r="246" spans="1:28" ht="16" thickBot="1" x14ac:dyDescent="0.25">
      <c r="A246" s="57">
        <v>4308.3</v>
      </c>
      <c r="B246" s="58">
        <v>2785.1610606585787</v>
      </c>
      <c r="C246" s="3"/>
      <c r="D246" s="3"/>
      <c r="E246" s="8"/>
      <c r="F246" s="48"/>
      <c r="G246" s="48"/>
      <c r="H246" s="48"/>
      <c r="I246" s="48"/>
      <c r="J246" s="7"/>
      <c r="K246" s="3"/>
      <c r="L246" s="3"/>
      <c r="M246" s="3"/>
      <c r="N246" s="8"/>
      <c r="O246" s="50"/>
      <c r="P246" s="50"/>
      <c r="Q246" s="50"/>
      <c r="R246" s="50"/>
      <c r="S246" s="39"/>
      <c r="T246" s="39"/>
      <c r="U246" s="39"/>
      <c r="V246" s="39"/>
      <c r="W246" s="37" cm="1">
        <f t="array" ref="W246">CheckYellowFill(Table248[[#This Row],[MD
(m)]])</f>
        <v>1</v>
      </c>
      <c r="X246" s="39" cm="1">
        <f t="array" ref="X246">isfontcolorred(Table248[[#This Row],[MD
(m)]])</f>
        <v>0</v>
      </c>
      <c r="Y246" s="37">
        <f>IF(Table248[[#This Row],[Plug Depth
Plan
(m)]]&lt;&gt;0,1,0)</f>
        <v>0</v>
      </c>
      <c r="Z246" s="39"/>
      <c r="AA246" s="40" t="str">
        <f>IF(Table248[[#This Row],[Plug Depth
Plan
(m)]]=0,"",ABS(Table248[[#This Row],[Plug Depth
Plan
(m)]]-Table248[[#This Row],[MD
(m)]]))</f>
        <v/>
      </c>
    </row>
    <row r="247" spans="1:28" ht="16" thickBot="1" x14ac:dyDescent="0.25">
      <c r="A247" s="22">
        <v>4308.3900000000003</v>
      </c>
      <c r="B247" s="9">
        <v>2785.16</v>
      </c>
      <c r="C247" s="3">
        <v>90.89</v>
      </c>
      <c r="D247" s="3">
        <v>0.68</v>
      </c>
      <c r="E247" s="8">
        <v>0.49</v>
      </c>
      <c r="F247" s="69">
        <v>1645.85</v>
      </c>
      <c r="G247" s="69">
        <v>195.86</v>
      </c>
      <c r="H247" s="69">
        <v>0.48</v>
      </c>
      <c r="I247" s="69">
        <v>0.1</v>
      </c>
      <c r="J247" s="7">
        <v>4235.01</v>
      </c>
      <c r="K247" s="3">
        <v>2783.01</v>
      </c>
      <c r="L247" s="3">
        <v>89.777000000000001</v>
      </c>
      <c r="M247" s="3">
        <v>0.05</v>
      </c>
      <c r="N247" s="8">
        <v>0</v>
      </c>
      <c r="O247" s="50">
        <v>1562.69</v>
      </c>
      <c r="P247" s="50">
        <v>189.19</v>
      </c>
      <c r="Q247" s="50">
        <v>0</v>
      </c>
      <c r="R247" s="50">
        <v>0</v>
      </c>
      <c r="S247" s="39">
        <v>2793.38</v>
      </c>
      <c r="T247" s="39">
        <f>ABS(Table248[[#This Row],[mTVD
Lower
Marker]]-Table248[[#This Row],[TVD
(m)]])</f>
        <v>8.2200000000002547</v>
      </c>
      <c r="U247" s="39">
        <v>2783.38</v>
      </c>
      <c r="V247" s="39">
        <f>ABS(Table248[[#This Row],[mTVD
Upper
Marker]]-Table248[[#This Row],[TVD
(m)]])</f>
        <v>1.7799999999997453</v>
      </c>
      <c r="W247" s="37" cm="1">
        <f t="array" ref="W247">CheckYellowFill(Table248[[#This Row],[MD
(m)]])</f>
        <v>0</v>
      </c>
      <c r="X247" s="39" cm="1">
        <f t="array" ref="X247">isfontcolorred(Table248[[#This Row],[MD
(m)]])</f>
        <v>0</v>
      </c>
      <c r="Y247" s="37">
        <f>IF(Table248[[#This Row],[Plug Depth
Plan
(m)]]&lt;&gt;0,1,0)</f>
        <v>0</v>
      </c>
      <c r="Z247" s="39"/>
      <c r="AA247" s="40" t="str">
        <f>IF(Table248[[#This Row],[Plug Depth
Plan
(m)]]=0,"",ABS(Table248[[#This Row],[Plug Depth
Plan
(m)]]-Table248[[#This Row],[MD
(m)]]))</f>
        <v/>
      </c>
    </row>
    <row r="248" spans="1:28" ht="16" thickBot="1" x14ac:dyDescent="0.25">
      <c r="A248" s="54">
        <v>4315.8</v>
      </c>
      <c r="B248" s="20">
        <v>2785.0446592874437</v>
      </c>
      <c r="C248" s="3"/>
      <c r="D248" s="3"/>
      <c r="E248" s="8"/>
      <c r="F248" s="48"/>
      <c r="G248" s="48"/>
      <c r="H248" s="48"/>
      <c r="I248" s="48"/>
      <c r="J248" s="7"/>
      <c r="K248" s="3"/>
      <c r="L248" s="3"/>
      <c r="M248" s="3"/>
      <c r="N248" s="8"/>
      <c r="O248" s="50"/>
      <c r="P248" s="50"/>
      <c r="Q248" s="50"/>
      <c r="R248" s="50"/>
      <c r="S248" s="39"/>
      <c r="T248" s="39"/>
      <c r="U248" s="39"/>
      <c r="V248" s="39"/>
      <c r="W248" s="37" cm="1">
        <f t="array" ref="W248">CheckYellowFill(Table248[[#This Row],[MD
(m)]])</f>
        <v>0</v>
      </c>
      <c r="X248" s="39" cm="1">
        <f t="array" ref="X248">isfontcolorred(Table248[[#This Row],[MD
(m)]])</f>
        <v>1</v>
      </c>
      <c r="Y248" s="37">
        <f>IF(Table248[[#This Row],[Plug Depth
Plan
(m)]]&lt;&gt;0,1,0)</f>
        <v>0</v>
      </c>
      <c r="Z248" s="39"/>
      <c r="AA248" s="40" t="str">
        <f>IF(Table248[[#This Row],[Plug Depth
Plan
(m)]]=0,"",ABS(Table248[[#This Row],[Plug Depth
Plan
(m)]]-Table248[[#This Row],[MD
(m)]]))</f>
        <v/>
      </c>
      <c r="AB248" s="28">
        <v>10722</v>
      </c>
    </row>
    <row r="249" spans="1:28" ht="16" thickBot="1" x14ac:dyDescent="0.25">
      <c r="A249" s="54">
        <v>4328.3</v>
      </c>
      <c r="B249" s="21">
        <v>2784.8500899342789</v>
      </c>
      <c r="C249" s="3"/>
      <c r="D249" s="3"/>
      <c r="E249" s="8"/>
      <c r="F249" s="48"/>
      <c r="G249" s="48"/>
      <c r="H249" s="48"/>
      <c r="I249" s="48"/>
      <c r="J249" s="7"/>
      <c r="K249" s="3"/>
      <c r="L249" s="3"/>
      <c r="M249" s="3"/>
      <c r="N249" s="8"/>
      <c r="O249" s="50"/>
      <c r="P249" s="50"/>
      <c r="Q249" s="50"/>
      <c r="R249" s="50"/>
      <c r="S249" s="39"/>
      <c r="T249" s="39"/>
      <c r="U249" s="39"/>
      <c r="V249" s="39"/>
      <c r="W249" s="37" cm="1">
        <f t="array" ref="W249">CheckYellowFill(Table248[[#This Row],[MD
(m)]])</f>
        <v>0</v>
      </c>
      <c r="X249" s="39" cm="1">
        <f t="array" ref="X249">isfontcolorred(Table248[[#This Row],[MD
(m)]])</f>
        <v>1</v>
      </c>
      <c r="Y249" s="37">
        <f>IF(Table248[[#This Row],[Plug Depth
Plan
(m)]]&lt;&gt;0,1,0)</f>
        <v>0</v>
      </c>
      <c r="Z249" s="39"/>
      <c r="AA249" s="40" t="str">
        <f>IF(Table248[[#This Row],[Plug Depth
Plan
(m)]]=0,"",ABS(Table248[[#This Row],[Plug Depth
Plan
(m)]]-Table248[[#This Row],[MD
(m)]]))</f>
        <v/>
      </c>
      <c r="AB249" s="28">
        <v>10722</v>
      </c>
    </row>
    <row r="250" spans="1:28" ht="16" thickBot="1" x14ac:dyDescent="0.25">
      <c r="A250" s="22">
        <v>4337.3</v>
      </c>
      <c r="B250" s="9">
        <v>2784.71</v>
      </c>
      <c r="C250" s="3">
        <v>90.92</v>
      </c>
      <c r="D250" s="3">
        <v>3.42</v>
      </c>
      <c r="E250" s="8">
        <v>2.84</v>
      </c>
      <c r="F250" s="69">
        <v>1674.73</v>
      </c>
      <c r="G250" s="69">
        <v>196.9</v>
      </c>
      <c r="H250" s="69">
        <v>0.03</v>
      </c>
      <c r="I250" s="69">
        <v>2.84</v>
      </c>
      <c r="J250" s="7">
        <v>4265.01</v>
      </c>
      <c r="K250" s="3">
        <v>2783.13</v>
      </c>
      <c r="L250" s="3">
        <v>89.777000000000001</v>
      </c>
      <c r="M250" s="3">
        <v>0.05</v>
      </c>
      <c r="N250" s="8">
        <v>0</v>
      </c>
      <c r="O250" s="50">
        <v>1592.69</v>
      </c>
      <c r="P250" s="50">
        <v>189.22</v>
      </c>
      <c r="Q250" s="50">
        <v>0</v>
      </c>
      <c r="R250" s="50">
        <v>0</v>
      </c>
      <c r="S250" s="39">
        <v>2793.31</v>
      </c>
      <c r="T250" s="39">
        <f>ABS(Table248[[#This Row],[mTVD
Lower
Marker]]-Table248[[#This Row],[TVD
(m)]])</f>
        <v>8.5999999999999091</v>
      </c>
      <c r="U250" s="39">
        <v>2783.31</v>
      </c>
      <c r="V250" s="39">
        <f>ABS(Table248[[#This Row],[mTVD
Upper
Marker]]-Table248[[#This Row],[TVD
(m)]])</f>
        <v>1.4000000000000909</v>
      </c>
      <c r="W250" s="37" cm="1">
        <f t="array" ref="W250">CheckYellowFill(Table248[[#This Row],[MD
(m)]])</f>
        <v>0</v>
      </c>
      <c r="X250" s="39" cm="1">
        <f t="array" ref="X250">isfontcolorred(Table248[[#This Row],[MD
(m)]])</f>
        <v>0</v>
      </c>
      <c r="Y250" s="37">
        <f>IF(Table248[[#This Row],[Plug Depth
Plan
(m)]]&lt;&gt;0,1,0)</f>
        <v>0</v>
      </c>
      <c r="Z250" s="39"/>
      <c r="AA250" s="40" t="str">
        <f>IF(Table248[[#This Row],[Plug Depth
Plan
(m)]]=0,"",ABS(Table248[[#This Row],[Plug Depth
Plan
(m)]]-Table248[[#This Row],[MD
(m)]]))</f>
        <v/>
      </c>
    </row>
    <row r="251" spans="1:28" ht="16" thickBot="1" x14ac:dyDescent="0.25">
      <c r="A251" s="54">
        <v>4340.8</v>
      </c>
      <c r="B251" s="20">
        <v>2784.6773010380621</v>
      </c>
      <c r="C251" s="3"/>
      <c r="D251" s="3"/>
      <c r="E251" s="8"/>
      <c r="F251" s="48"/>
      <c r="G251" s="48"/>
      <c r="H251" s="48"/>
      <c r="I251" s="48"/>
      <c r="J251" s="7"/>
      <c r="K251" s="3"/>
      <c r="L251" s="3"/>
      <c r="M251" s="3"/>
      <c r="N251" s="8"/>
      <c r="O251" s="50"/>
      <c r="P251" s="50"/>
      <c r="Q251" s="50"/>
      <c r="R251" s="50"/>
      <c r="S251" s="39"/>
      <c r="T251" s="39"/>
      <c r="U251" s="39"/>
      <c r="V251" s="39"/>
      <c r="W251" s="37" cm="1">
        <f t="array" ref="W251">CheckYellowFill(Table248[[#This Row],[MD
(m)]])</f>
        <v>0</v>
      </c>
      <c r="X251" s="39" cm="1">
        <f t="array" ref="X251">isfontcolorred(Table248[[#This Row],[MD
(m)]])</f>
        <v>1</v>
      </c>
      <c r="Y251" s="37">
        <f>IF(Table248[[#This Row],[Plug Depth
Plan
(m)]]&lt;&gt;0,1,0)</f>
        <v>0</v>
      </c>
      <c r="Z251" s="39"/>
      <c r="AA251" s="40" t="str">
        <f>IF(Table248[[#This Row],[Plug Depth
Plan
(m)]]=0,"",ABS(Table248[[#This Row],[Plug Depth
Plan
(m)]]-Table248[[#This Row],[MD
(m)]]))</f>
        <v/>
      </c>
      <c r="AB251" s="28">
        <v>10722</v>
      </c>
    </row>
    <row r="252" spans="1:28" ht="16" thickBot="1" x14ac:dyDescent="0.25">
      <c r="A252" s="51">
        <v>4353.3</v>
      </c>
      <c r="B252" s="20">
        <v>2784.5605190311417</v>
      </c>
      <c r="C252" s="3"/>
      <c r="D252" s="3"/>
      <c r="E252" s="8"/>
      <c r="F252" s="48"/>
      <c r="G252" s="48"/>
      <c r="H252" s="48"/>
      <c r="I252" s="48"/>
      <c r="J252" s="7"/>
      <c r="K252" s="3"/>
      <c r="L252" s="3"/>
      <c r="M252" s="3"/>
      <c r="N252" s="8"/>
      <c r="O252" s="50"/>
      <c r="P252" s="50"/>
      <c r="Q252" s="50"/>
      <c r="R252" s="50"/>
      <c r="S252" s="39"/>
      <c r="T252" s="39"/>
      <c r="U252" s="39"/>
      <c r="V252" s="39"/>
      <c r="W252" s="37" cm="1">
        <f t="array" ref="W252">CheckYellowFill(Table248[[#This Row],[MD
(m)]])</f>
        <v>0</v>
      </c>
      <c r="X252" s="39" cm="1">
        <f t="array" ref="X252">isfontcolorred(Table248[[#This Row],[MD
(m)]])</f>
        <v>1</v>
      </c>
      <c r="Y252" s="37">
        <f>IF(Table248[[#This Row],[Plug Depth
Plan
(m)]]&lt;&gt;0,1,0)</f>
        <v>0</v>
      </c>
      <c r="Z252" s="39"/>
      <c r="AA252" s="40" t="str">
        <f>IF(Table248[[#This Row],[Plug Depth
Plan
(m)]]=0,"",ABS(Table248[[#This Row],[Plug Depth
Plan
(m)]]-Table248[[#This Row],[MD
(m)]]))</f>
        <v/>
      </c>
      <c r="AB252" s="28">
        <v>10722</v>
      </c>
    </row>
    <row r="253" spans="1:28" ht="16" thickBot="1" x14ac:dyDescent="0.25">
      <c r="A253" s="54">
        <v>4365.8</v>
      </c>
      <c r="B253" s="21">
        <v>2784.4437370242213</v>
      </c>
      <c r="C253" s="3"/>
      <c r="D253" s="3"/>
      <c r="E253" s="8"/>
      <c r="F253" s="48"/>
      <c r="G253" s="48"/>
      <c r="H253" s="48"/>
      <c r="I253" s="48"/>
      <c r="J253" s="7"/>
      <c r="K253" s="3"/>
      <c r="L253" s="3"/>
      <c r="M253" s="3"/>
      <c r="N253" s="8"/>
      <c r="O253" s="50"/>
      <c r="P253" s="50"/>
      <c r="Q253" s="50"/>
      <c r="R253" s="50"/>
      <c r="S253" s="39"/>
      <c r="T253" s="39"/>
      <c r="U253" s="39"/>
      <c r="V253" s="39"/>
      <c r="W253" s="37" cm="1">
        <f t="array" ref="W253">CheckYellowFill(Table248[[#This Row],[MD
(m)]])</f>
        <v>0</v>
      </c>
      <c r="X253" s="39" cm="1">
        <f t="array" ref="X253">isfontcolorred(Table248[[#This Row],[MD
(m)]])</f>
        <v>1</v>
      </c>
      <c r="Y253" s="37">
        <f>IF(Table248[[#This Row],[Plug Depth
Plan
(m)]]&lt;&gt;0,1,0)</f>
        <v>0</v>
      </c>
      <c r="Z253" s="39"/>
      <c r="AA253" s="40" t="str">
        <f>IF(Table248[[#This Row],[Plug Depth
Plan
(m)]]=0,"",ABS(Table248[[#This Row],[Plug Depth
Plan
(m)]]-Table248[[#This Row],[MD
(m)]]))</f>
        <v/>
      </c>
      <c r="AB253" s="28">
        <v>9243</v>
      </c>
    </row>
    <row r="254" spans="1:28" ht="16" thickBot="1" x14ac:dyDescent="0.25">
      <c r="A254" s="3">
        <v>4366.2</v>
      </c>
      <c r="B254" s="9">
        <v>2784.44</v>
      </c>
      <c r="C254" s="3">
        <v>90.12</v>
      </c>
      <c r="D254" s="3">
        <v>4.41</v>
      </c>
      <c r="E254" s="8">
        <v>1.32</v>
      </c>
      <c r="F254" s="69">
        <v>1703.57</v>
      </c>
      <c r="G254" s="69">
        <v>198.87</v>
      </c>
      <c r="H254" s="69">
        <v>-0.83</v>
      </c>
      <c r="I254" s="69">
        <v>1.03</v>
      </c>
      <c r="J254" s="7">
        <v>4295.01</v>
      </c>
      <c r="K254" s="3">
        <v>2783.24</v>
      </c>
      <c r="L254" s="3">
        <v>89.777000000000001</v>
      </c>
      <c r="M254" s="3">
        <v>0.05</v>
      </c>
      <c r="N254" s="8">
        <v>0</v>
      </c>
      <c r="O254" s="50">
        <v>1622.69</v>
      </c>
      <c r="P254" s="50">
        <v>189.24</v>
      </c>
      <c r="Q254" s="50">
        <v>0</v>
      </c>
      <c r="R254" s="50">
        <v>0</v>
      </c>
      <c r="S254" s="39">
        <v>2793.24</v>
      </c>
      <c r="T254" s="39">
        <f>ABS(Table248[[#This Row],[mTVD
Lower
Marker]]-Table248[[#This Row],[TVD
(m)]])</f>
        <v>8.7999999999997272</v>
      </c>
      <c r="U254" s="39">
        <v>2783.24</v>
      </c>
      <c r="V254" s="39">
        <f>ABS(Table248[[#This Row],[mTVD
Upper
Marker]]-Table248[[#This Row],[TVD
(m)]])</f>
        <v>1.2000000000002728</v>
      </c>
      <c r="W254" s="37" cm="1">
        <f t="array" ref="W254">CheckYellowFill(Table248[[#This Row],[MD
(m)]])</f>
        <v>0</v>
      </c>
      <c r="X254" s="39" cm="1">
        <f t="array" ref="X254">isfontcolorred(Table248[[#This Row],[MD
(m)]])</f>
        <v>0</v>
      </c>
      <c r="Y254" s="37">
        <f>IF(Table248[[#This Row],[Plug Depth
Plan
(m)]]&lt;&gt;0,1,0)</f>
        <v>0</v>
      </c>
      <c r="Z254" s="39"/>
      <c r="AA254" s="40" t="str">
        <f>IF(Table248[[#This Row],[Plug Depth
Plan
(m)]]=0,"",ABS(Table248[[#This Row],[Plug Depth
Plan
(m)]]-Table248[[#This Row],[MD
(m)]]))</f>
        <v/>
      </c>
    </row>
    <row r="255" spans="1:28" ht="16" thickBot="1" x14ac:dyDescent="0.25">
      <c r="A255" s="54">
        <v>4378.3</v>
      </c>
      <c r="B255" s="20">
        <v>2784.486119196119</v>
      </c>
      <c r="C255" s="3"/>
      <c r="D255" s="3"/>
      <c r="E255" s="8"/>
      <c r="F255" s="48"/>
      <c r="G255" s="48"/>
      <c r="H255" s="48"/>
      <c r="I255" s="48"/>
      <c r="J255" s="7"/>
      <c r="K255" s="3"/>
      <c r="L255" s="3"/>
      <c r="M255" s="3"/>
      <c r="N255" s="8"/>
      <c r="O255" s="50"/>
      <c r="P255" s="50"/>
      <c r="Q255" s="50"/>
      <c r="R255" s="50"/>
      <c r="S255" s="39"/>
      <c r="T255" s="39"/>
      <c r="U255" s="39"/>
      <c r="V255" s="39"/>
      <c r="W255" s="37" cm="1">
        <f t="array" ref="W255">CheckYellowFill(Table248[[#This Row],[MD
(m)]])</f>
        <v>0</v>
      </c>
      <c r="X255" s="39" cm="1">
        <f t="array" ref="X255">isfontcolorred(Table248[[#This Row],[MD
(m)]])</f>
        <v>1</v>
      </c>
      <c r="Y255" s="37">
        <f>IF(Table248[[#This Row],[Plug Depth
Plan
(m)]]&lt;&gt;0,1,0)</f>
        <v>0</v>
      </c>
      <c r="Z255" s="39"/>
      <c r="AA255" s="40" t="str">
        <f>IF(Table248[[#This Row],[Plug Depth
Plan
(m)]]=0,"",ABS(Table248[[#This Row],[Plug Depth
Plan
(m)]]-Table248[[#This Row],[MD
(m)]]))</f>
        <v/>
      </c>
      <c r="AB255" s="28">
        <v>9243</v>
      </c>
    </row>
    <row r="256" spans="1:28" ht="16" thickBot="1" x14ac:dyDescent="0.25">
      <c r="A256" s="51">
        <v>4390.8</v>
      </c>
      <c r="B256" s="20">
        <v>2784.5337629937626</v>
      </c>
      <c r="C256" s="3"/>
      <c r="D256" s="3"/>
      <c r="E256" s="8"/>
      <c r="F256" s="48"/>
      <c r="G256" s="48"/>
      <c r="H256" s="48"/>
      <c r="I256" s="48"/>
      <c r="J256" s="7"/>
      <c r="K256" s="3"/>
      <c r="L256" s="3"/>
      <c r="M256" s="3"/>
      <c r="N256" s="8"/>
      <c r="O256" s="50"/>
      <c r="P256" s="50"/>
      <c r="Q256" s="50"/>
      <c r="R256" s="50"/>
      <c r="S256" s="39"/>
      <c r="T256" s="39"/>
      <c r="U256" s="39"/>
      <c r="V256" s="39"/>
      <c r="W256" s="37" cm="1">
        <f t="array" ref="W256">CheckYellowFill(Table248[[#This Row],[MD
(m)]])</f>
        <v>0</v>
      </c>
      <c r="X256" s="39" cm="1">
        <f t="array" ref="X256">isfontcolorred(Table248[[#This Row],[MD
(m)]])</f>
        <v>1</v>
      </c>
      <c r="Y256" s="37">
        <f>IF(Table248[[#This Row],[Plug Depth
Plan
(m)]]&lt;&gt;0,1,0)</f>
        <v>0</v>
      </c>
      <c r="Z256" s="39"/>
      <c r="AA256" s="40" t="str">
        <f>IF(Table248[[#This Row],[Plug Depth
Plan
(m)]]=0,"",ABS(Table248[[#This Row],[Plug Depth
Plan
(m)]]-Table248[[#This Row],[MD
(m)]]))</f>
        <v/>
      </c>
      <c r="AB256" s="28">
        <v>9243</v>
      </c>
    </row>
    <row r="257" spans="1:28" ht="16" thickBot="1" x14ac:dyDescent="0.25">
      <c r="A257" s="22">
        <v>4395.0600000000004</v>
      </c>
      <c r="B257" s="9">
        <v>2784.55</v>
      </c>
      <c r="C257" s="3">
        <v>89.45</v>
      </c>
      <c r="D257" s="3">
        <v>1.49</v>
      </c>
      <c r="E257" s="8">
        <v>3.11</v>
      </c>
      <c r="F257" s="69">
        <v>1732.38</v>
      </c>
      <c r="G257" s="69">
        <v>200.36</v>
      </c>
      <c r="H257" s="69">
        <v>-0.7</v>
      </c>
      <c r="I257" s="69">
        <v>-3.04</v>
      </c>
      <c r="J257" s="7">
        <v>4325.01</v>
      </c>
      <c r="K257" s="3">
        <v>2783.36</v>
      </c>
      <c r="L257" s="3">
        <v>89.777000000000001</v>
      </c>
      <c r="M257" s="3">
        <v>0.05</v>
      </c>
      <c r="N257" s="8">
        <v>0</v>
      </c>
      <c r="O257" s="50">
        <v>1652.69</v>
      </c>
      <c r="P257" s="50">
        <v>189.27</v>
      </c>
      <c r="Q257" s="50">
        <v>0</v>
      </c>
      <c r="R257" s="50">
        <v>0</v>
      </c>
      <c r="S257" s="39">
        <v>2793.29</v>
      </c>
      <c r="T257" s="39">
        <f>ABS(Table248[[#This Row],[mTVD
Lower
Marker]]-Table248[[#This Row],[TVD
(m)]])</f>
        <v>8.7399999999997817</v>
      </c>
      <c r="U257" s="39">
        <v>2783.29</v>
      </c>
      <c r="V257" s="39">
        <f>ABS(Table248[[#This Row],[mTVD
Upper
Marker]]-Table248[[#This Row],[TVD
(m)]])</f>
        <v>1.2600000000002183</v>
      </c>
      <c r="W257" s="37" cm="1">
        <f t="array" ref="W257">CheckYellowFill(Table248[[#This Row],[MD
(m)]])</f>
        <v>0</v>
      </c>
      <c r="X257" s="39" cm="1">
        <f t="array" ref="X257">isfontcolorred(Table248[[#This Row],[MD
(m)]])</f>
        <v>0</v>
      </c>
      <c r="Y257" s="37">
        <f>IF(Table248[[#This Row],[Plug Depth
Plan
(m)]]&lt;&gt;0,1,0)</f>
        <v>0</v>
      </c>
      <c r="Z257" s="39"/>
      <c r="AA257" s="40" t="str">
        <f>IF(Table248[[#This Row],[Plug Depth
Plan
(m)]]=0,"",ABS(Table248[[#This Row],[Plug Depth
Plan
(m)]]-Table248[[#This Row],[MD
(m)]]))</f>
        <v/>
      </c>
    </row>
    <row r="258" spans="1:28" ht="16" thickBot="1" x14ac:dyDescent="0.25">
      <c r="A258" s="54">
        <v>4403.3</v>
      </c>
      <c r="B258" s="20">
        <v>2784.6609057839219</v>
      </c>
      <c r="C258" s="3"/>
      <c r="D258" s="3"/>
      <c r="E258" s="8"/>
      <c r="F258" s="48"/>
      <c r="G258" s="48"/>
      <c r="H258" s="48"/>
      <c r="I258" s="48"/>
      <c r="J258" s="7"/>
      <c r="K258" s="3"/>
      <c r="L258" s="3"/>
      <c r="M258" s="3"/>
      <c r="N258" s="8"/>
      <c r="O258" s="50"/>
      <c r="P258" s="50"/>
      <c r="Q258" s="50"/>
      <c r="R258" s="50"/>
      <c r="S258" s="39"/>
      <c r="T258" s="39"/>
      <c r="U258" s="39"/>
      <c r="V258" s="39"/>
      <c r="W258" s="37" cm="1">
        <f t="array" ref="W258">CheckYellowFill(Table248[[#This Row],[MD
(m)]])</f>
        <v>0</v>
      </c>
      <c r="X258" s="39" cm="1">
        <f t="array" ref="X258">isfontcolorred(Table248[[#This Row],[MD
(m)]])</f>
        <v>1</v>
      </c>
      <c r="Y258" s="37">
        <f>IF(Table248[[#This Row],[Plug Depth
Plan
(m)]]&lt;&gt;0,1,0)</f>
        <v>0</v>
      </c>
      <c r="Z258" s="39"/>
      <c r="AA258" s="40" t="str">
        <f>IF(Table248[[#This Row],[Plug Depth
Plan
(m)]]=0,"",ABS(Table248[[#This Row],[Plug Depth
Plan
(m)]]-Table248[[#This Row],[MD
(m)]]))</f>
        <v/>
      </c>
      <c r="AB258" s="28">
        <v>9243</v>
      </c>
    </row>
    <row r="259" spans="1:28" ht="16" thickBot="1" x14ac:dyDescent="0.25">
      <c r="A259" s="59">
        <v>4408.3</v>
      </c>
      <c r="B259" s="56">
        <v>2784.7282029829034</v>
      </c>
      <c r="C259" s="3"/>
      <c r="D259" s="3"/>
      <c r="E259" s="8"/>
      <c r="F259" s="48"/>
      <c r="G259" s="48"/>
      <c r="H259" s="48"/>
      <c r="I259" s="48"/>
      <c r="J259" s="7"/>
      <c r="K259" s="3"/>
      <c r="L259" s="3"/>
      <c r="M259" s="3"/>
      <c r="N259" s="8"/>
      <c r="O259" s="50"/>
      <c r="P259" s="50"/>
      <c r="Q259" s="50"/>
      <c r="R259" s="50"/>
      <c r="S259" s="39"/>
      <c r="T259" s="39"/>
      <c r="U259" s="39"/>
      <c r="V259" s="39"/>
      <c r="W259" s="37" cm="1">
        <f t="array" ref="W259">CheckYellowFill(Table248[[#This Row],[MD
(m)]])</f>
        <v>1</v>
      </c>
      <c r="X259" s="39" cm="1">
        <f t="array" ref="X259">isfontcolorred(Table248[[#This Row],[MD
(m)]])</f>
        <v>0</v>
      </c>
      <c r="Y259" s="37">
        <f>IF(Table248[[#This Row],[Plug Depth
Plan
(m)]]&lt;&gt;0,1,0)</f>
        <v>0</v>
      </c>
      <c r="Z259" s="39"/>
      <c r="AA259" s="40" t="str">
        <f>IF(Table248[[#This Row],[Plug Depth
Plan
(m)]]=0,"",ABS(Table248[[#This Row],[Plug Depth
Plan
(m)]]-Table248[[#This Row],[MD
(m)]]))</f>
        <v/>
      </c>
    </row>
    <row r="260" spans="1:28" ht="16" thickBot="1" x14ac:dyDescent="0.25">
      <c r="A260" s="51">
        <v>4415.8</v>
      </c>
      <c r="B260" s="20">
        <v>2784.8291487813754</v>
      </c>
      <c r="C260" s="3"/>
      <c r="D260" s="3"/>
      <c r="E260" s="8"/>
      <c r="F260" s="48"/>
      <c r="G260" s="48"/>
      <c r="H260" s="48"/>
      <c r="I260" s="48"/>
      <c r="J260" s="7"/>
      <c r="K260" s="3"/>
      <c r="L260" s="3"/>
      <c r="M260" s="3"/>
      <c r="N260" s="8"/>
      <c r="O260" s="50"/>
      <c r="P260" s="50"/>
      <c r="Q260" s="50"/>
      <c r="R260" s="50"/>
      <c r="S260" s="39"/>
      <c r="T260" s="39"/>
      <c r="U260" s="39"/>
      <c r="V260" s="39"/>
      <c r="W260" s="37" cm="1">
        <f t="array" ref="W260">CheckYellowFill(Table248[[#This Row],[MD
(m)]])</f>
        <v>0</v>
      </c>
      <c r="X260" s="39" cm="1">
        <f t="array" ref="X260">isfontcolorred(Table248[[#This Row],[MD
(m)]])</f>
        <v>1</v>
      </c>
      <c r="Y260" s="37">
        <f>IF(Table248[[#This Row],[Plug Depth
Plan
(m)]]&lt;&gt;0,1,0)</f>
        <v>0</v>
      </c>
      <c r="Z260" s="39"/>
      <c r="AA260" s="40" t="str">
        <f>IF(Table248[[#This Row],[Plug Depth
Plan
(m)]]=0,"",ABS(Table248[[#This Row],[Plug Depth
Plan
(m)]]-Table248[[#This Row],[MD
(m)]]))</f>
        <v/>
      </c>
      <c r="AB260" s="28">
        <v>10728</v>
      </c>
    </row>
    <row r="261" spans="1:28" ht="16" thickBot="1" x14ac:dyDescent="0.25">
      <c r="A261" s="22">
        <v>4422.55</v>
      </c>
      <c r="B261" s="9">
        <v>2784.92</v>
      </c>
      <c r="C261" s="3">
        <v>89.01</v>
      </c>
      <c r="D261" s="3">
        <v>3.05</v>
      </c>
      <c r="E261" s="8">
        <v>1.77</v>
      </c>
      <c r="F261" s="69">
        <v>1759.85</v>
      </c>
      <c r="G261" s="69">
        <v>201.45</v>
      </c>
      <c r="H261" s="69">
        <v>-0.48</v>
      </c>
      <c r="I261" s="69">
        <v>1.7</v>
      </c>
      <c r="J261" s="7">
        <v>4355.01</v>
      </c>
      <c r="K261" s="3">
        <v>2783.48</v>
      </c>
      <c r="L261" s="3">
        <v>89.777000000000001</v>
      </c>
      <c r="M261" s="3">
        <v>0.05</v>
      </c>
      <c r="N261" s="8">
        <v>0</v>
      </c>
      <c r="O261" s="50">
        <v>1682.69</v>
      </c>
      <c r="P261" s="50">
        <v>189.29</v>
      </c>
      <c r="Q261" s="50">
        <v>0</v>
      </c>
      <c r="R261" s="50">
        <v>0</v>
      </c>
      <c r="S261" s="39">
        <v>2793.34</v>
      </c>
      <c r="T261" s="39">
        <f>ABS(Table248[[#This Row],[mTVD
Lower
Marker]]-Table248[[#This Row],[TVD
(m)]])</f>
        <v>8.4200000000000728</v>
      </c>
      <c r="U261" s="39">
        <v>2783.34</v>
      </c>
      <c r="V261" s="39">
        <f>ABS(Table248[[#This Row],[mTVD
Upper
Marker]]-Table248[[#This Row],[TVD
(m)]])</f>
        <v>1.5799999999999272</v>
      </c>
      <c r="W261" s="37" cm="1">
        <f t="array" ref="W261">CheckYellowFill(Table248[[#This Row],[MD
(m)]])</f>
        <v>0</v>
      </c>
      <c r="X261" s="39" cm="1">
        <f t="array" ref="X261">isfontcolorred(Table248[[#This Row],[MD
(m)]])</f>
        <v>0</v>
      </c>
      <c r="Y261" s="37">
        <f>IF(Table248[[#This Row],[Plug Depth
Plan
(m)]]&lt;&gt;0,1,0)</f>
        <v>0</v>
      </c>
      <c r="Z261" s="39"/>
      <c r="AA261" s="40" t="str">
        <f>IF(Table248[[#This Row],[Plug Depth
Plan
(m)]]=0,"",ABS(Table248[[#This Row],[Plug Depth
Plan
(m)]]-Table248[[#This Row],[MD
(m)]]))</f>
        <v/>
      </c>
    </row>
    <row r="262" spans="1:28" ht="16" thickBot="1" x14ac:dyDescent="0.25">
      <c r="A262" s="51">
        <v>4428.3</v>
      </c>
      <c r="B262" s="20">
        <v>2785.0061576881913</v>
      </c>
      <c r="C262" s="3"/>
      <c r="D262" s="3"/>
      <c r="E262" s="8"/>
      <c r="F262" s="48"/>
      <c r="G262" s="48"/>
      <c r="H262" s="48"/>
      <c r="I262" s="48"/>
      <c r="J262" s="7"/>
      <c r="K262" s="3"/>
      <c r="L262" s="3"/>
      <c r="M262" s="3"/>
      <c r="N262" s="8"/>
      <c r="O262" s="50"/>
      <c r="P262" s="50"/>
      <c r="Q262" s="50"/>
      <c r="R262" s="50"/>
      <c r="S262" s="39"/>
      <c r="T262" s="39"/>
      <c r="U262" s="39"/>
      <c r="V262" s="39"/>
      <c r="W262" s="37" cm="1">
        <f t="array" ref="W262">CheckYellowFill(Table248[[#This Row],[MD
(m)]])</f>
        <v>0</v>
      </c>
      <c r="X262" s="39" cm="1">
        <f t="array" ref="X262">isfontcolorred(Table248[[#This Row],[MD
(m)]])</f>
        <v>1</v>
      </c>
      <c r="Y262" s="37">
        <f>IF(Table248[[#This Row],[Plug Depth
Plan
(m)]]&lt;&gt;0,1,0)</f>
        <v>0</v>
      </c>
      <c r="Z262" s="39"/>
      <c r="AA262" s="40" t="str">
        <f>IF(Table248[[#This Row],[Plug Depth
Plan
(m)]]=0,"",ABS(Table248[[#This Row],[Plug Depth
Plan
(m)]]-Table248[[#This Row],[MD
(m)]]))</f>
        <v/>
      </c>
      <c r="AB262" s="28">
        <v>10728</v>
      </c>
    </row>
    <row r="263" spans="1:28" ht="16" thickBot="1" x14ac:dyDescent="0.25">
      <c r="A263" s="51">
        <v>4440.8</v>
      </c>
      <c r="B263" s="20">
        <v>2785.1934570103463</v>
      </c>
      <c r="C263" s="3"/>
      <c r="D263" s="3"/>
      <c r="E263" s="8"/>
      <c r="F263" s="48"/>
      <c r="G263" s="48"/>
      <c r="H263" s="48"/>
      <c r="I263" s="48"/>
      <c r="J263" s="7"/>
      <c r="K263" s="3"/>
      <c r="L263" s="3"/>
      <c r="M263" s="3"/>
      <c r="N263" s="8"/>
      <c r="O263" s="50"/>
      <c r="P263" s="50"/>
      <c r="Q263" s="50"/>
      <c r="R263" s="50"/>
      <c r="S263" s="39"/>
      <c r="T263" s="39"/>
      <c r="U263" s="39"/>
      <c r="V263" s="39"/>
      <c r="W263" s="37" cm="1">
        <f t="array" ref="W263">CheckYellowFill(Table248[[#This Row],[MD
(m)]])</f>
        <v>0</v>
      </c>
      <c r="X263" s="39" cm="1">
        <f t="array" ref="X263">isfontcolorred(Table248[[#This Row],[MD
(m)]])</f>
        <v>1</v>
      </c>
      <c r="Y263" s="37">
        <f>IF(Table248[[#This Row],[Plug Depth
Plan
(m)]]&lt;&gt;0,1,0)</f>
        <v>0</v>
      </c>
      <c r="Z263" s="39"/>
      <c r="AA263" s="40" t="str">
        <f>IF(Table248[[#This Row],[Plug Depth
Plan
(m)]]=0,"",ABS(Table248[[#This Row],[Plug Depth
Plan
(m)]]-Table248[[#This Row],[MD
(m)]]))</f>
        <v/>
      </c>
      <c r="AB263" s="28">
        <v>10728</v>
      </c>
    </row>
    <row r="264" spans="1:28" ht="16" thickBot="1" x14ac:dyDescent="0.25">
      <c r="A264" s="22">
        <v>4450.58</v>
      </c>
      <c r="B264" s="9">
        <v>2785.34</v>
      </c>
      <c r="C264" s="3">
        <v>89.29</v>
      </c>
      <c r="D264" s="3">
        <v>359.43</v>
      </c>
      <c r="E264" s="8">
        <v>3.89</v>
      </c>
      <c r="F264" s="69">
        <v>1787.86</v>
      </c>
      <c r="G264" s="69">
        <v>202.05</v>
      </c>
      <c r="H264" s="69">
        <v>0.3</v>
      </c>
      <c r="I264" s="69">
        <v>-3.87</v>
      </c>
      <c r="J264" s="7">
        <v>4385.01</v>
      </c>
      <c r="K264" s="3">
        <v>2783.59</v>
      </c>
      <c r="L264" s="3">
        <v>89.777000000000001</v>
      </c>
      <c r="M264" s="3">
        <v>0.05</v>
      </c>
      <c r="N264" s="8">
        <v>0</v>
      </c>
      <c r="O264" s="50">
        <v>1712.69</v>
      </c>
      <c r="P264" s="50">
        <v>189.32</v>
      </c>
      <c r="Q264" s="50">
        <v>0</v>
      </c>
      <c r="R264" s="50">
        <v>0</v>
      </c>
      <c r="S264" s="39">
        <v>2793.35</v>
      </c>
      <c r="T264" s="39">
        <f>ABS(Table248[[#This Row],[mTVD
Lower
Marker]]-Table248[[#This Row],[TVD
(m)]])</f>
        <v>8.0099999999997635</v>
      </c>
      <c r="U264" s="39">
        <v>2783.35</v>
      </c>
      <c r="V264" s="39">
        <f>ABS(Table248[[#This Row],[mTVD
Upper
Marker]]-Table248[[#This Row],[TVD
(m)]])</f>
        <v>1.9900000000002365</v>
      </c>
      <c r="W264" s="37" cm="1">
        <f t="array" ref="W264">CheckYellowFill(Table248[[#This Row],[MD
(m)]])</f>
        <v>0</v>
      </c>
      <c r="X264" s="39" cm="1">
        <f t="array" ref="X264">isfontcolorred(Table248[[#This Row],[MD
(m)]])</f>
        <v>0</v>
      </c>
      <c r="Y264" s="37">
        <f>IF(Table248[[#This Row],[Plug Depth
Plan
(m)]]&lt;&gt;0,1,0)</f>
        <v>0</v>
      </c>
      <c r="Z264" s="39"/>
      <c r="AA264" s="40" t="str">
        <f>IF(Table248[[#This Row],[Plug Depth
Plan
(m)]]=0,"",ABS(Table248[[#This Row],[Plug Depth
Plan
(m)]]-Table248[[#This Row],[MD
(m)]]))</f>
        <v/>
      </c>
    </row>
    <row r="265" spans="1:28" ht="16" thickBot="1" x14ac:dyDescent="0.25">
      <c r="A265" s="51">
        <v>4453.3</v>
      </c>
      <c r="B265" s="20">
        <v>2785.3315469613262</v>
      </c>
      <c r="C265" s="3"/>
      <c r="D265" s="3"/>
      <c r="E265" s="8"/>
      <c r="F265" s="48"/>
      <c r="G265" s="48"/>
      <c r="H265" s="48"/>
      <c r="I265" s="48"/>
      <c r="J265" s="7"/>
      <c r="K265" s="3"/>
      <c r="L265" s="3"/>
      <c r="M265" s="3"/>
      <c r="N265" s="8"/>
      <c r="O265" s="50"/>
      <c r="P265" s="50"/>
      <c r="Q265" s="50"/>
      <c r="R265" s="50"/>
      <c r="S265" s="39"/>
      <c r="T265" s="39"/>
      <c r="U265" s="39"/>
      <c r="V265" s="39"/>
      <c r="W265" s="37" cm="1">
        <f t="array" ref="W265">CheckYellowFill(Table248[[#This Row],[MD
(m)]])</f>
        <v>0</v>
      </c>
      <c r="X265" s="39" cm="1">
        <f t="array" ref="X265">isfontcolorred(Table248[[#This Row],[MD
(m)]])</f>
        <v>1</v>
      </c>
      <c r="Y265" s="37">
        <f>IF(Table248[[#This Row],[Plug Depth
Plan
(m)]]&lt;&gt;0,1,0)</f>
        <v>0</v>
      </c>
      <c r="Z265" s="39"/>
      <c r="AA265" s="40" t="str">
        <f>IF(Table248[[#This Row],[Plug Depth
Plan
(m)]]=0,"",ABS(Table248[[#This Row],[Plug Depth
Plan
(m)]]-Table248[[#This Row],[MD
(m)]]))</f>
        <v/>
      </c>
      <c r="AB265" s="28">
        <v>10728</v>
      </c>
    </row>
    <row r="266" spans="1:28" ht="16" thickBot="1" x14ac:dyDescent="0.25">
      <c r="A266" s="54">
        <v>4465.8</v>
      </c>
      <c r="B266" s="21">
        <v>2785.2927002762431</v>
      </c>
      <c r="C266" s="3"/>
      <c r="D266" s="3"/>
      <c r="E266" s="8"/>
      <c r="F266" s="48"/>
      <c r="G266" s="48"/>
      <c r="H266" s="48"/>
      <c r="I266" s="48"/>
      <c r="J266" s="7"/>
      <c r="K266" s="3"/>
      <c r="L266" s="3"/>
      <c r="M266" s="3"/>
      <c r="N266" s="8"/>
      <c r="O266" s="50"/>
      <c r="P266" s="50"/>
      <c r="Q266" s="50"/>
      <c r="R266" s="50"/>
      <c r="S266" s="39"/>
      <c r="T266" s="39"/>
      <c r="U266" s="39"/>
      <c r="V266" s="39"/>
      <c r="W266" s="37" cm="1">
        <f t="array" ref="W266">CheckYellowFill(Table248[[#This Row],[MD
(m)]])</f>
        <v>0</v>
      </c>
      <c r="X266" s="39" cm="1">
        <f t="array" ref="X266">isfontcolorred(Table248[[#This Row],[MD
(m)]])</f>
        <v>1</v>
      </c>
      <c r="Y266" s="37">
        <f>IF(Table248[[#This Row],[Plug Depth
Plan
(m)]]&lt;&gt;0,1,0)</f>
        <v>0</v>
      </c>
      <c r="Z266" s="39"/>
      <c r="AA266" s="40" t="str">
        <f>IF(Table248[[#This Row],[Plug Depth
Plan
(m)]]=0,"",ABS(Table248[[#This Row],[Plug Depth
Plan
(m)]]-Table248[[#This Row],[MD
(m)]]))</f>
        <v/>
      </c>
      <c r="AB266" s="28">
        <v>9846</v>
      </c>
    </row>
    <row r="267" spans="1:28" ht="16" thickBot="1" x14ac:dyDescent="0.25">
      <c r="A267" s="51">
        <v>4478.3</v>
      </c>
      <c r="B267" s="20">
        <v>2785.2538535911604</v>
      </c>
      <c r="C267" s="3"/>
      <c r="D267" s="3"/>
      <c r="E267" s="8"/>
      <c r="F267" s="48"/>
      <c r="G267" s="48"/>
      <c r="H267" s="48"/>
      <c r="I267" s="48"/>
      <c r="J267" s="7"/>
      <c r="K267" s="3"/>
      <c r="L267" s="3"/>
      <c r="M267" s="3"/>
      <c r="N267" s="8"/>
      <c r="O267" s="50"/>
      <c r="P267" s="50"/>
      <c r="Q267" s="50"/>
      <c r="R267" s="50"/>
      <c r="S267" s="39"/>
      <c r="T267" s="39"/>
      <c r="U267" s="39"/>
      <c r="V267" s="39"/>
      <c r="W267" s="37" cm="1">
        <f t="array" ref="W267">CheckYellowFill(Table248[[#This Row],[MD
(m)]])</f>
        <v>0</v>
      </c>
      <c r="X267" s="39" cm="1">
        <f t="array" ref="X267">isfontcolorred(Table248[[#This Row],[MD
(m)]])</f>
        <v>1</v>
      </c>
      <c r="Y267" s="37">
        <f>IF(Table248[[#This Row],[Plug Depth
Plan
(m)]]&lt;&gt;0,1,0)</f>
        <v>0</v>
      </c>
      <c r="Z267" s="39"/>
      <c r="AA267" s="40" t="str">
        <f>IF(Table248[[#This Row],[Plug Depth
Plan
(m)]]=0,"",ABS(Table248[[#This Row],[Plug Depth
Plan
(m)]]-Table248[[#This Row],[MD
(m)]]))</f>
        <v/>
      </c>
      <c r="AB267" s="28">
        <v>9846</v>
      </c>
    </row>
    <row r="268" spans="1:28" ht="16" thickBot="1" x14ac:dyDescent="0.25">
      <c r="A268" s="22">
        <v>4479.54</v>
      </c>
      <c r="B268" s="9">
        <v>2785.25</v>
      </c>
      <c r="C268" s="3">
        <v>91.05</v>
      </c>
      <c r="D268" s="3">
        <v>359.1</v>
      </c>
      <c r="E268" s="8">
        <v>1.85</v>
      </c>
      <c r="F268" s="69">
        <v>1816.82</v>
      </c>
      <c r="G268" s="69">
        <v>201.68</v>
      </c>
      <c r="H268" s="69">
        <v>1.82</v>
      </c>
      <c r="I268" s="69">
        <v>-0.34</v>
      </c>
      <c r="J268" s="7">
        <v>4415.01</v>
      </c>
      <c r="K268" s="3">
        <v>2783.71</v>
      </c>
      <c r="L268" s="3">
        <v>89.777000000000001</v>
      </c>
      <c r="M268" s="3">
        <v>0.05</v>
      </c>
      <c r="N268" s="8">
        <v>0</v>
      </c>
      <c r="O268" s="50">
        <v>1742.69</v>
      </c>
      <c r="P268" s="50">
        <v>189.35</v>
      </c>
      <c r="Q268" s="50">
        <v>0</v>
      </c>
      <c r="R268" s="50">
        <v>0</v>
      </c>
      <c r="S268" s="39">
        <v>2793.11</v>
      </c>
      <c r="T268" s="39">
        <f>ABS(Table248[[#This Row],[mTVD
Lower
Marker]]-Table248[[#This Row],[TVD
(m)]])</f>
        <v>7.8600000000001273</v>
      </c>
      <c r="U268" s="39">
        <v>2783.11</v>
      </c>
      <c r="V268" s="39">
        <f>ABS(Table248[[#This Row],[mTVD
Upper
Marker]]-Table248[[#This Row],[TVD
(m)]])</f>
        <v>2.1399999999998727</v>
      </c>
      <c r="W268" s="37" cm="1">
        <f t="array" ref="W268">CheckYellowFill(Table248[[#This Row],[MD
(m)]])</f>
        <v>0</v>
      </c>
      <c r="X268" s="39" cm="1">
        <f t="array" ref="X268">isfontcolorred(Table248[[#This Row],[MD
(m)]])</f>
        <v>0</v>
      </c>
      <c r="Y268" s="37">
        <f>IF(Table248[[#This Row],[Plug Depth
Plan
(m)]]&lt;&gt;0,1,0)</f>
        <v>0</v>
      </c>
      <c r="Z268" s="39"/>
      <c r="AA268" s="40" t="str">
        <f>IF(Table248[[#This Row],[Plug Depth
Plan
(m)]]=0,"",ABS(Table248[[#This Row],[Plug Depth
Plan
(m)]]-Table248[[#This Row],[MD
(m)]]))</f>
        <v/>
      </c>
    </row>
    <row r="269" spans="1:28" ht="16" thickBot="1" x14ac:dyDescent="0.25">
      <c r="A269" s="54">
        <v>4490.8</v>
      </c>
      <c r="B269" s="21">
        <v>2785.2108211551845</v>
      </c>
      <c r="C269" s="3"/>
      <c r="D269" s="3"/>
      <c r="E269" s="8"/>
      <c r="F269" s="48"/>
      <c r="G269" s="48"/>
      <c r="H269" s="48"/>
      <c r="I269" s="48"/>
      <c r="J269" s="7"/>
      <c r="K269" s="3"/>
      <c r="L269" s="3"/>
      <c r="M269" s="3"/>
      <c r="N269" s="8"/>
      <c r="O269" s="50"/>
      <c r="P269" s="50"/>
      <c r="Q269" s="50"/>
      <c r="R269" s="50"/>
      <c r="S269" s="39"/>
      <c r="T269" s="39"/>
      <c r="U269" s="39"/>
      <c r="V269" s="39"/>
      <c r="W269" s="37" cm="1">
        <f t="array" ref="W269">CheckYellowFill(Table248[[#This Row],[MD
(m)]])</f>
        <v>0</v>
      </c>
      <c r="X269" s="39" cm="1">
        <f t="array" ref="X269">isfontcolorred(Table248[[#This Row],[MD
(m)]])</f>
        <v>1</v>
      </c>
      <c r="Y269" s="37">
        <f>IF(Table248[[#This Row],[Plug Depth
Plan
(m)]]&lt;&gt;0,1,0)</f>
        <v>0</v>
      </c>
      <c r="Z269" s="39"/>
      <c r="AA269" s="40" t="str">
        <f>IF(Table248[[#This Row],[Plug Depth
Plan
(m)]]=0,"",ABS(Table248[[#This Row],[Plug Depth
Plan
(m)]]-Table248[[#This Row],[MD
(m)]]))</f>
        <v/>
      </c>
      <c r="AB269" s="28">
        <v>9846</v>
      </c>
    </row>
    <row r="270" spans="1:28" ht="16" thickBot="1" x14ac:dyDescent="0.25">
      <c r="A270" s="54">
        <v>4503.3</v>
      </c>
      <c r="B270" s="20">
        <v>2785.1673277661794</v>
      </c>
      <c r="C270" s="3"/>
      <c r="D270" s="3"/>
      <c r="E270" s="8"/>
      <c r="F270" s="48"/>
      <c r="G270" s="48"/>
      <c r="H270" s="48"/>
      <c r="I270" s="48"/>
      <c r="J270" s="7"/>
      <c r="K270" s="3"/>
      <c r="L270" s="3"/>
      <c r="M270" s="3"/>
      <c r="N270" s="8"/>
      <c r="O270" s="50"/>
      <c r="P270" s="50"/>
      <c r="Q270" s="50"/>
      <c r="R270" s="50"/>
      <c r="S270" s="39"/>
      <c r="T270" s="39"/>
      <c r="U270" s="39"/>
      <c r="V270" s="39"/>
      <c r="W270" s="37" cm="1">
        <f t="array" ref="W270">CheckYellowFill(Table248[[#This Row],[MD
(m)]])</f>
        <v>0</v>
      </c>
      <c r="X270" s="39" cm="1">
        <f t="array" ref="X270">isfontcolorred(Table248[[#This Row],[MD
(m)]])</f>
        <v>1</v>
      </c>
      <c r="Y270" s="37">
        <f>IF(Table248[[#This Row],[Plug Depth
Plan
(m)]]&lt;&gt;0,1,0)</f>
        <v>0</v>
      </c>
      <c r="Z270" s="39"/>
      <c r="AA270" s="40" t="str">
        <f>IF(Table248[[#This Row],[Plug Depth
Plan
(m)]]=0,"",ABS(Table248[[#This Row],[Plug Depth
Plan
(m)]]-Table248[[#This Row],[MD
(m)]]))</f>
        <v/>
      </c>
      <c r="AB270" s="28">
        <v>9846</v>
      </c>
    </row>
    <row r="271" spans="1:28" ht="16" thickBot="1" x14ac:dyDescent="0.25">
      <c r="A271" s="22">
        <v>4508.28</v>
      </c>
      <c r="B271" s="9">
        <v>2785.15</v>
      </c>
      <c r="C271" s="3">
        <v>89.35</v>
      </c>
      <c r="D271" s="3">
        <v>359.45</v>
      </c>
      <c r="E271" s="8">
        <v>1.81</v>
      </c>
      <c r="F271" s="69">
        <v>1845.56</v>
      </c>
      <c r="G271" s="69">
        <v>201.32</v>
      </c>
      <c r="H271" s="69">
        <v>-1.77</v>
      </c>
      <c r="I271" s="69">
        <v>0.37</v>
      </c>
      <c r="J271" s="7">
        <v>4445.01</v>
      </c>
      <c r="K271" s="3">
        <v>2783.83</v>
      </c>
      <c r="L271" s="3">
        <v>89.777000000000001</v>
      </c>
      <c r="M271" s="3">
        <v>0.05</v>
      </c>
      <c r="N271" s="8">
        <v>0</v>
      </c>
      <c r="O271" s="50">
        <v>1772.69</v>
      </c>
      <c r="P271" s="50">
        <v>189.37</v>
      </c>
      <c r="Q271" s="50">
        <v>0</v>
      </c>
      <c r="R271" s="50">
        <v>0</v>
      </c>
      <c r="S271" s="39">
        <v>2792.88</v>
      </c>
      <c r="T271" s="39">
        <f>ABS(Table248[[#This Row],[mTVD
Lower
Marker]]-Table248[[#This Row],[TVD
(m)]])</f>
        <v>7.7300000000000182</v>
      </c>
      <c r="U271" s="39">
        <v>2782.88</v>
      </c>
      <c r="V271" s="39">
        <f>ABS(Table248[[#This Row],[mTVD
Upper
Marker]]-Table248[[#This Row],[TVD
(m)]])</f>
        <v>2.2699999999999818</v>
      </c>
      <c r="W271" s="37" cm="1">
        <f t="array" ref="W271">CheckYellowFill(Table248[[#This Row],[MD
(m)]])</f>
        <v>0</v>
      </c>
      <c r="X271" s="39" cm="1">
        <f t="array" ref="X271">isfontcolorred(Table248[[#This Row],[MD
(m)]])</f>
        <v>0</v>
      </c>
      <c r="Y271" s="37">
        <f>IF(Table248[[#This Row],[Plug Depth
Plan
(m)]]&lt;&gt;0,1,0)</f>
        <v>0</v>
      </c>
      <c r="Z271" s="39"/>
      <c r="AA271" s="40" t="str">
        <f>IF(Table248[[#This Row],[Plug Depth
Plan
(m)]]=0,"",ABS(Table248[[#This Row],[Plug Depth
Plan
(m)]]-Table248[[#This Row],[MD
(m)]]))</f>
        <v/>
      </c>
    </row>
    <row r="272" spans="1:28" ht="16" thickBot="1" x14ac:dyDescent="0.25">
      <c r="A272" s="57">
        <v>4508.3</v>
      </c>
      <c r="B272" s="58">
        <v>2785.1502910602912</v>
      </c>
      <c r="C272" s="3"/>
      <c r="D272" s="3"/>
      <c r="E272" s="8"/>
      <c r="F272" s="48"/>
      <c r="G272" s="48"/>
      <c r="H272" s="48"/>
      <c r="I272" s="48"/>
      <c r="J272" s="7"/>
      <c r="K272" s="3"/>
      <c r="L272" s="3"/>
      <c r="M272" s="3"/>
      <c r="N272" s="8"/>
      <c r="O272" s="50"/>
      <c r="P272" s="50"/>
      <c r="Q272" s="50"/>
      <c r="R272" s="50"/>
      <c r="S272" s="39"/>
      <c r="T272" s="39"/>
      <c r="U272" s="39"/>
      <c r="V272" s="39"/>
      <c r="W272" s="37" cm="1">
        <f t="array" ref="W272">CheckYellowFill(Table248[[#This Row],[MD
(m)]])</f>
        <v>1</v>
      </c>
      <c r="X272" s="39" cm="1">
        <f t="array" ref="X272">isfontcolorred(Table248[[#This Row],[MD
(m)]])</f>
        <v>0</v>
      </c>
      <c r="Y272" s="37">
        <f>IF(Table248[[#This Row],[Plug Depth
Plan
(m)]]&lt;&gt;0,1,0)</f>
        <v>0</v>
      </c>
      <c r="Z272" s="39"/>
      <c r="AA272" s="40" t="str">
        <f>IF(Table248[[#This Row],[Plug Depth
Plan
(m)]]=0,"",ABS(Table248[[#This Row],[Plug Depth
Plan
(m)]]-Table248[[#This Row],[MD
(m)]]))</f>
        <v/>
      </c>
    </row>
    <row r="273" spans="1:28" ht="16" thickBot="1" x14ac:dyDescent="0.25">
      <c r="A273" s="54">
        <v>4515.8</v>
      </c>
      <c r="B273" s="20">
        <v>2785.2594386694386</v>
      </c>
      <c r="C273" s="3"/>
      <c r="D273" s="3"/>
      <c r="E273" s="8"/>
      <c r="F273" s="48"/>
      <c r="G273" s="48"/>
      <c r="H273" s="48"/>
      <c r="I273" s="48"/>
      <c r="J273" s="7"/>
      <c r="K273" s="3"/>
      <c r="L273" s="3"/>
      <c r="M273" s="3"/>
      <c r="N273" s="8"/>
      <c r="O273" s="50"/>
      <c r="P273" s="50"/>
      <c r="Q273" s="50"/>
      <c r="R273" s="50"/>
      <c r="S273" s="39"/>
      <c r="T273" s="39"/>
      <c r="U273" s="39"/>
      <c r="V273" s="39"/>
      <c r="W273" s="37" cm="1">
        <f t="array" ref="W273">CheckYellowFill(Table248[[#This Row],[MD
(m)]])</f>
        <v>0</v>
      </c>
      <c r="X273" s="39" cm="1">
        <f t="array" ref="X273">isfontcolorred(Table248[[#This Row],[MD
(m)]])</f>
        <v>1</v>
      </c>
      <c r="Y273" s="37">
        <f>IF(Table248[[#This Row],[Plug Depth
Plan
(m)]]&lt;&gt;0,1,0)</f>
        <v>0</v>
      </c>
      <c r="Z273" s="39"/>
      <c r="AA273" s="40" t="str">
        <f>IF(Table248[[#This Row],[Plug Depth
Plan
(m)]]=0,"",ABS(Table248[[#This Row],[Plug Depth
Plan
(m)]]-Table248[[#This Row],[MD
(m)]]))</f>
        <v/>
      </c>
      <c r="AB273" s="28">
        <v>10651</v>
      </c>
    </row>
    <row r="274" spans="1:28" ht="16" thickBot="1" x14ac:dyDescent="0.25">
      <c r="A274" s="54">
        <v>4528.3</v>
      </c>
      <c r="B274" s="20">
        <v>2785.4413513513514</v>
      </c>
      <c r="C274" s="3"/>
      <c r="D274" s="3"/>
      <c r="E274" s="8"/>
      <c r="F274" s="48"/>
      <c r="G274" s="48"/>
      <c r="H274" s="48"/>
      <c r="I274" s="48"/>
      <c r="J274" s="7"/>
      <c r="K274" s="3"/>
      <c r="L274" s="3"/>
      <c r="M274" s="3"/>
      <c r="N274" s="8"/>
      <c r="O274" s="50"/>
      <c r="P274" s="50"/>
      <c r="Q274" s="50"/>
      <c r="R274" s="50"/>
      <c r="S274" s="39"/>
      <c r="T274" s="39"/>
      <c r="U274" s="39"/>
      <c r="V274" s="39"/>
      <c r="W274" s="37" cm="1">
        <f t="array" ref="W274">CheckYellowFill(Table248[[#This Row],[MD
(m)]])</f>
        <v>0</v>
      </c>
      <c r="X274" s="39" cm="1">
        <f t="array" ref="X274">isfontcolorred(Table248[[#This Row],[MD
(m)]])</f>
        <v>1</v>
      </c>
      <c r="Y274" s="37">
        <f>IF(Table248[[#This Row],[Plug Depth
Plan
(m)]]&lt;&gt;0,1,0)</f>
        <v>0</v>
      </c>
      <c r="Z274" s="39"/>
      <c r="AA274" s="40" t="str">
        <f>IF(Table248[[#This Row],[Plug Depth
Plan
(m)]]=0,"",ABS(Table248[[#This Row],[Plug Depth
Plan
(m)]]-Table248[[#This Row],[MD
(m)]]))</f>
        <v/>
      </c>
      <c r="AB274" s="28">
        <v>10651</v>
      </c>
    </row>
    <row r="275" spans="1:28" ht="16" thickBot="1" x14ac:dyDescent="0.25">
      <c r="A275" s="22">
        <v>4537.1400000000003</v>
      </c>
      <c r="B275" s="9">
        <v>2785.57</v>
      </c>
      <c r="C275" s="3">
        <v>88.98</v>
      </c>
      <c r="D275" s="3">
        <v>359.18</v>
      </c>
      <c r="E275" s="8">
        <v>0.48</v>
      </c>
      <c r="F275" s="69">
        <v>1874.41</v>
      </c>
      <c r="G275" s="69">
        <v>200.97</v>
      </c>
      <c r="H275" s="69">
        <v>-0.38</v>
      </c>
      <c r="I275" s="69">
        <v>-0.28000000000000003</v>
      </c>
      <c r="J275" s="7">
        <v>4475.01</v>
      </c>
      <c r="K275" s="3">
        <v>2783.94</v>
      </c>
      <c r="L275" s="3">
        <v>89.777000000000001</v>
      </c>
      <c r="M275" s="3">
        <v>0.05</v>
      </c>
      <c r="N275" s="8">
        <v>0</v>
      </c>
      <c r="O275" s="50">
        <v>1802.69</v>
      </c>
      <c r="P275" s="50">
        <v>189.4</v>
      </c>
      <c r="Q275" s="50">
        <v>0</v>
      </c>
      <c r="R275" s="50">
        <v>0</v>
      </c>
      <c r="S275" s="39">
        <v>2792.66</v>
      </c>
      <c r="T275" s="39">
        <f>ABS(Table248[[#This Row],[mTVD
Lower
Marker]]-Table248[[#This Row],[TVD
(m)]])</f>
        <v>7.0899999999996908</v>
      </c>
      <c r="U275" s="39">
        <v>2782.66</v>
      </c>
      <c r="V275" s="39">
        <f>ABS(Table248[[#This Row],[mTVD
Upper
Marker]]-Table248[[#This Row],[TVD
(m)]])</f>
        <v>2.9100000000003092</v>
      </c>
      <c r="W275" s="37" cm="1">
        <f t="array" ref="W275">CheckYellowFill(Table248[[#This Row],[MD
(m)]])</f>
        <v>0</v>
      </c>
      <c r="X275" s="39" cm="1">
        <f t="array" ref="X275">isfontcolorred(Table248[[#This Row],[MD
(m)]])</f>
        <v>0</v>
      </c>
      <c r="Y275" s="37">
        <f>IF(Table248[[#This Row],[Plug Depth
Plan
(m)]]&lt;&gt;0,1,0)</f>
        <v>0</v>
      </c>
      <c r="Z275" s="39"/>
      <c r="AA275" s="40" t="str">
        <f>IF(Table248[[#This Row],[Plug Depth
Plan
(m)]]=0,"",ABS(Table248[[#This Row],[Plug Depth
Plan
(m)]]-Table248[[#This Row],[MD
(m)]]))</f>
        <v/>
      </c>
    </row>
    <row r="276" spans="1:28" ht="16" thickBot="1" x14ac:dyDescent="0.25">
      <c r="A276" s="54">
        <v>4540.8</v>
      </c>
      <c r="B276" s="20">
        <v>2785.595416666667</v>
      </c>
      <c r="C276" s="3"/>
      <c r="D276" s="3"/>
      <c r="E276" s="8"/>
      <c r="F276" s="48"/>
      <c r="G276" s="48"/>
      <c r="H276" s="48"/>
      <c r="I276" s="48"/>
      <c r="J276" s="7"/>
      <c r="K276" s="3"/>
      <c r="L276" s="3"/>
      <c r="M276" s="3"/>
      <c r="N276" s="8"/>
      <c r="O276" s="50"/>
      <c r="P276" s="50"/>
      <c r="Q276" s="50"/>
      <c r="R276" s="50"/>
      <c r="S276" s="39"/>
      <c r="T276" s="39"/>
      <c r="U276" s="39"/>
      <c r="V276" s="39"/>
      <c r="W276" s="37" cm="1">
        <f t="array" ref="W276">CheckYellowFill(Table248[[#This Row],[MD
(m)]])</f>
        <v>0</v>
      </c>
      <c r="X276" s="39" cm="1">
        <f t="array" ref="X276">isfontcolorred(Table248[[#This Row],[MD
(m)]])</f>
        <v>1</v>
      </c>
      <c r="Y276" s="37">
        <f>IF(Table248[[#This Row],[Plug Depth
Plan
(m)]]&lt;&gt;0,1,0)</f>
        <v>0</v>
      </c>
      <c r="Z276" s="39"/>
      <c r="AA276" s="40" t="str">
        <f>IF(Table248[[#This Row],[Plug Depth
Plan
(m)]]=0,"",ABS(Table248[[#This Row],[Plug Depth
Plan
(m)]]-Table248[[#This Row],[MD
(m)]]))</f>
        <v/>
      </c>
      <c r="AB276" s="28">
        <v>10651</v>
      </c>
    </row>
    <row r="277" spans="1:28" ht="16" thickBot="1" x14ac:dyDescent="0.25">
      <c r="A277" s="51">
        <v>4553.3</v>
      </c>
      <c r="B277" s="20">
        <v>2785.6822222222222</v>
      </c>
      <c r="C277" s="3"/>
      <c r="D277" s="3"/>
      <c r="E277" s="8"/>
      <c r="F277" s="48"/>
      <c r="G277" s="48"/>
      <c r="H277" s="48"/>
      <c r="I277" s="48"/>
      <c r="J277" s="7"/>
      <c r="K277" s="3"/>
      <c r="L277" s="3"/>
      <c r="M277" s="3"/>
      <c r="N277" s="8"/>
      <c r="O277" s="50"/>
      <c r="P277" s="50"/>
      <c r="Q277" s="50"/>
      <c r="R277" s="50"/>
      <c r="S277" s="39"/>
      <c r="T277" s="39"/>
      <c r="U277" s="39"/>
      <c r="V277" s="39"/>
      <c r="W277" s="37" cm="1">
        <f t="array" ref="W277">CheckYellowFill(Table248[[#This Row],[MD
(m)]])</f>
        <v>0</v>
      </c>
      <c r="X277" s="39" cm="1">
        <f t="array" ref="X277">isfontcolorred(Table248[[#This Row],[MD
(m)]])</f>
        <v>1</v>
      </c>
      <c r="Y277" s="37">
        <f>IF(Table248[[#This Row],[Plug Depth
Plan
(m)]]&lt;&gt;0,1,0)</f>
        <v>0</v>
      </c>
      <c r="Z277" s="39"/>
      <c r="AA277" s="40" t="str">
        <f>IF(Table248[[#This Row],[Plug Depth
Plan
(m)]]=0,"",ABS(Table248[[#This Row],[Plug Depth
Plan
(m)]]-Table248[[#This Row],[MD
(m)]]))</f>
        <v/>
      </c>
      <c r="AB277" s="28">
        <v>10651</v>
      </c>
    </row>
    <row r="278" spans="1:28" ht="16" thickBot="1" x14ac:dyDescent="0.25">
      <c r="A278" s="54">
        <v>4565.8</v>
      </c>
      <c r="B278" s="21">
        <v>2785.7690277777779</v>
      </c>
      <c r="C278" s="3"/>
      <c r="D278" s="3"/>
      <c r="E278" s="8"/>
      <c r="F278" s="48"/>
      <c r="G278" s="48"/>
      <c r="H278" s="48"/>
      <c r="I278" s="48"/>
      <c r="J278" s="7"/>
      <c r="K278" s="3"/>
      <c r="L278" s="3"/>
      <c r="M278" s="3"/>
      <c r="N278" s="8"/>
      <c r="O278" s="50"/>
      <c r="P278" s="50"/>
      <c r="Q278" s="50"/>
      <c r="R278" s="50"/>
      <c r="S278" s="39"/>
      <c r="T278" s="39"/>
      <c r="U278" s="39"/>
      <c r="V278" s="39"/>
      <c r="W278" s="37" cm="1">
        <f t="array" ref="W278">CheckYellowFill(Table248[[#This Row],[MD
(m)]])</f>
        <v>0</v>
      </c>
      <c r="X278" s="39" cm="1">
        <f t="array" ref="X278">isfontcolorred(Table248[[#This Row],[MD
(m)]])</f>
        <v>1</v>
      </c>
      <c r="Y278" s="37">
        <f>IF(Table248[[#This Row],[Plug Depth
Plan
(m)]]&lt;&gt;0,1,0)</f>
        <v>0</v>
      </c>
      <c r="Z278" s="39"/>
      <c r="AA278" s="40" t="str">
        <f>IF(Table248[[#This Row],[Plug Depth
Plan
(m)]]=0,"",ABS(Table248[[#This Row],[Plug Depth
Plan
(m)]]-Table248[[#This Row],[MD
(m)]]))</f>
        <v/>
      </c>
      <c r="AB278" s="28">
        <v>9507</v>
      </c>
    </row>
    <row r="279" spans="1:28" ht="16" thickBot="1" x14ac:dyDescent="0.25">
      <c r="A279" s="22">
        <v>4565.9399999999996</v>
      </c>
      <c r="B279" s="9">
        <v>2785.77</v>
      </c>
      <c r="C279" s="3">
        <v>90.25</v>
      </c>
      <c r="D279" s="3">
        <v>359.2</v>
      </c>
      <c r="E279" s="8">
        <v>1.32</v>
      </c>
      <c r="F279" s="69">
        <v>1903.21</v>
      </c>
      <c r="G279" s="69">
        <v>200.56</v>
      </c>
      <c r="H279" s="69">
        <v>1.32</v>
      </c>
      <c r="I279" s="69">
        <v>0.02</v>
      </c>
      <c r="J279" s="7">
        <v>4505.01</v>
      </c>
      <c r="K279" s="3">
        <v>2784.06</v>
      </c>
      <c r="L279" s="3">
        <v>89.777000000000001</v>
      </c>
      <c r="M279" s="3">
        <v>0.05</v>
      </c>
      <c r="N279" s="8">
        <v>0</v>
      </c>
      <c r="O279" s="50">
        <v>1832.69</v>
      </c>
      <c r="P279" s="50">
        <v>189.43</v>
      </c>
      <c r="Q279" s="50">
        <v>0</v>
      </c>
      <c r="R279" s="50">
        <v>0</v>
      </c>
      <c r="S279" s="39">
        <v>2792.45</v>
      </c>
      <c r="T279" s="39">
        <f>ABS(Table248[[#This Row],[mTVD
Lower
Marker]]-Table248[[#This Row],[TVD
(m)]])</f>
        <v>6.6799999999998363</v>
      </c>
      <c r="U279" s="39">
        <v>2782.45</v>
      </c>
      <c r="V279" s="39">
        <f>ABS(Table248[[#This Row],[mTVD
Upper
Marker]]-Table248[[#This Row],[TVD
(m)]])</f>
        <v>3.3200000000001637</v>
      </c>
      <c r="W279" s="37" cm="1">
        <f t="array" ref="W279">CheckYellowFill(Table248[[#This Row],[MD
(m)]])</f>
        <v>0</v>
      </c>
      <c r="X279" s="39" cm="1">
        <f t="array" ref="X279">isfontcolorred(Table248[[#This Row],[MD
(m)]])</f>
        <v>0</v>
      </c>
      <c r="Y279" s="37">
        <f>IF(Table248[[#This Row],[Plug Depth
Plan
(m)]]&lt;&gt;0,1,0)</f>
        <v>0</v>
      </c>
      <c r="Z279" s="39"/>
      <c r="AA279" s="40" t="str">
        <f>IF(Table248[[#This Row],[Plug Depth
Plan
(m)]]=0,"",ABS(Table248[[#This Row],[Plug Depth
Plan
(m)]]-Table248[[#This Row],[MD
(m)]]))</f>
        <v/>
      </c>
    </row>
    <row r="280" spans="1:28" ht="16" thickBot="1" x14ac:dyDescent="0.25">
      <c r="A280" s="53">
        <v>4578.3</v>
      </c>
      <c r="B280" s="21">
        <v>2785.6769085929477</v>
      </c>
      <c r="C280" s="3"/>
      <c r="D280" s="3"/>
      <c r="E280" s="8"/>
      <c r="F280" s="48"/>
      <c r="G280" s="48"/>
      <c r="H280" s="48"/>
      <c r="I280" s="48"/>
      <c r="J280" s="7"/>
      <c r="K280" s="3"/>
      <c r="L280" s="3"/>
      <c r="M280" s="3"/>
      <c r="N280" s="8"/>
      <c r="O280" s="50"/>
      <c r="P280" s="50"/>
      <c r="Q280" s="50"/>
      <c r="R280" s="50"/>
      <c r="S280" s="39"/>
      <c r="T280" s="39"/>
      <c r="U280" s="39"/>
      <c r="V280" s="39"/>
      <c r="W280" s="37" cm="1">
        <f t="array" ref="W280">CheckYellowFill(Table248[[#This Row],[MD
(m)]])</f>
        <v>0</v>
      </c>
      <c r="X280" s="39" cm="1">
        <f t="array" ref="X280">isfontcolorred(Table248[[#This Row],[MD
(m)]])</f>
        <v>1</v>
      </c>
      <c r="Y280" s="37">
        <f>IF(Table248[[#This Row],[Plug Depth
Plan
(m)]]&lt;&gt;0,1,0)</f>
        <v>0</v>
      </c>
      <c r="Z280" s="39"/>
      <c r="AA280" s="40" t="str">
        <f>IF(Table248[[#This Row],[Plug Depth
Plan
(m)]]=0,"",ABS(Table248[[#This Row],[Plug Depth
Plan
(m)]]-Table248[[#This Row],[MD
(m)]]))</f>
        <v/>
      </c>
      <c r="AB280" s="28">
        <v>9507</v>
      </c>
    </row>
    <row r="281" spans="1:28" ht="16" thickBot="1" x14ac:dyDescent="0.25">
      <c r="A281" s="51">
        <v>4590.8</v>
      </c>
      <c r="B281" s="20">
        <v>2785.5827627524823</v>
      </c>
      <c r="C281" s="3"/>
      <c r="D281" s="3"/>
      <c r="E281" s="8"/>
      <c r="F281" s="48"/>
      <c r="G281" s="48"/>
      <c r="H281" s="48"/>
      <c r="I281" s="48"/>
      <c r="J281" s="7"/>
      <c r="K281" s="3"/>
      <c r="L281" s="3"/>
      <c r="M281" s="3"/>
      <c r="N281" s="8"/>
      <c r="O281" s="50"/>
      <c r="P281" s="50"/>
      <c r="Q281" s="50"/>
      <c r="R281" s="50"/>
      <c r="S281" s="39"/>
      <c r="T281" s="39"/>
      <c r="U281" s="39"/>
      <c r="V281" s="39"/>
      <c r="W281" s="37" cm="1">
        <f t="array" ref="W281">CheckYellowFill(Table248[[#This Row],[MD
(m)]])</f>
        <v>0</v>
      </c>
      <c r="X281" s="39" cm="1">
        <f t="array" ref="X281">isfontcolorred(Table248[[#This Row],[MD
(m)]])</f>
        <v>1</v>
      </c>
      <c r="Y281" s="37">
        <f>IF(Table248[[#This Row],[Plug Depth
Plan
(m)]]&lt;&gt;0,1,0)</f>
        <v>0</v>
      </c>
      <c r="Z281" s="39"/>
      <c r="AA281" s="40" t="str">
        <f>IF(Table248[[#This Row],[Plug Depth
Plan
(m)]]=0,"",ABS(Table248[[#This Row],[Plug Depth
Plan
(m)]]-Table248[[#This Row],[MD
(m)]]))</f>
        <v/>
      </c>
      <c r="AB281" s="28">
        <v>9507</v>
      </c>
    </row>
    <row r="282" spans="1:28" ht="16" thickBot="1" x14ac:dyDescent="0.25">
      <c r="A282" s="22">
        <v>4595.1499999999996</v>
      </c>
      <c r="B282" s="9">
        <v>2785.55</v>
      </c>
      <c r="C282" s="3">
        <v>90.58</v>
      </c>
      <c r="D282" s="3">
        <v>359.77</v>
      </c>
      <c r="E282" s="8">
        <v>0.68</v>
      </c>
      <c r="F282" s="69">
        <v>1932.42</v>
      </c>
      <c r="G282" s="69">
        <v>200.3</v>
      </c>
      <c r="H282" s="69">
        <v>0.34</v>
      </c>
      <c r="I282" s="69">
        <v>0.59</v>
      </c>
      <c r="J282" s="7">
        <v>4535.01</v>
      </c>
      <c r="K282" s="3">
        <v>2784.18</v>
      </c>
      <c r="L282" s="3">
        <v>89.777000000000001</v>
      </c>
      <c r="M282" s="3">
        <v>0.05</v>
      </c>
      <c r="N282" s="8">
        <v>0</v>
      </c>
      <c r="O282" s="50">
        <v>1862.69</v>
      </c>
      <c r="P282" s="50">
        <v>189.45</v>
      </c>
      <c r="Q282" s="50">
        <v>0</v>
      </c>
      <c r="R282" s="50">
        <v>0</v>
      </c>
      <c r="S282" s="39">
        <v>2792.23</v>
      </c>
      <c r="T282" s="39">
        <f>ABS(Table248[[#This Row],[mTVD
Lower
Marker]]-Table248[[#This Row],[TVD
(m)]])</f>
        <v>6.6799999999998363</v>
      </c>
      <c r="U282" s="39">
        <v>2782.23</v>
      </c>
      <c r="V282" s="39">
        <f>ABS(Table248[[#This Row],[mTVD
Upper
Marker]]-Table248[[#This Row],[TVD
(m)]])</f>
        <v>3.3200000000001637</v>
      </c>
      <c r="W282" s="37" cm="1">
        <f t="array" ref="W282">CheckYellowFill(Table248[[#This Row],[MD
(m)]])</f>
        <v>0</v>
      </c>
      <c r="X282" s="39" cm="1">
        <f t="array" ref="X282">isfontcolorred(Table248[[#This Row],[MD
(m)]])</f>
        <v>0</v>
      </c>
      <c r="Y282" s="37">
        <f>IF(Table248[[#This Row],[Plug Depth
Plan
(m)]]&lt;&gt;0,1,0)</f>
        <v>0</v>
      </c>
      <c r="Z282" s="39"/>
      <c r="AA282" s="40" t="str">
        <f>IF(Table248[[#This Row],[Plug Depth
Plan
(m)]]=0,"",ABS(Table248[[#This Row],[Plug Depth
Plan
(m)]]-Table248[[#This Row],[MD
(m)]]))</f>
        <v/>
      </c>
    </row>
    <row r="283" spans="1:28" ht="16" thickBot="1" x14ac:dyDescent="0.25">
      <c r="A283" s="54">
        <v>4603.3</v>
      </c>
      <c r="B283" s="20">
        <v>2785.5104643104646</v>
      </c>
      <c r="C283" s="3"/>
      <c r="D283" s="3"/>
      <c r="E283" s="8"/>
      <c r="F283" s="48"/>
      <c r="G283" s="48"/>
      <c r="H283" s="48"/>
      <c r="I283" s="48"/>
      <c r="J283" s="7"/>
      <c r="K283" s="3"/>
      <c r="L283" s="3"/>
      <c r="M283" s="3"/>
      <c r="N283" s="8"/>
      <c r="O283" s="50"/>
      <c r="P283" s="50"/>
      <c r="Q283" s="50"/>
      <c r="R283" s="50"/>
      <c r="S283" s="39"/>
      <c r="T283" s="39"/>
      <c r="U283" s="39"/>
      <c r="V283" s="39"/>
      <c r="W283" s="37" cm="1">
        <f t="array" ref="W283">CheckYellowFill(Table248[[#This Row],[MD
(m)]])</f>
        <v>0</v>
      </c>
      <c r="X283" s="39" cm="1">
        <f t="array" ref="X283">isfontcolorred(Table248[[#This Row],[MD
(m)]])</f>
        <v>1</v>
      </c>
      <c r="Y283" s="37">
        <f>IF(Table248[[#This Row],[Plug Depth
Plan
(m)]]&lt;&gt;0,1,0)</f>
        <v>0</v>
      </c>
      <c r="Z283" s="39"/>
      <c r="AA283" s="40" t="str">
        <f>IF(Table248[[#This Row],[Plug Depth
Plan
(m)]]=0,"",ABS(Table248[[#This Row],[Plug Depth
Plan
(m)]]-Table248[[#This Row],[MD
(m)]]))</f>
        <v/>
      </c>
      <c r="AB283" s="28">
        <v>9507</v>
      </c>
    </row>
    <row r="284" spans="1:28" ht="16" thickBot="1" x14ac:dyDescent="0.25">
      <c r="A284" s="59">
        <v>4608.3</v>
      </c>
      <c r="B284" s="58">
        <v>2785.4862092862095</v>
      </c>
      <c r="C284" s="3"/>
      <c r="D284" s="3"/>
      <c r="E284" s="8"/>
      <c r="F284" s="48"/>
      <c r="G284" s="48"/>
      <c r="H284" s="48"/>
      <c r="I284" s="48"/>
      <c r="J284" s="7"/>
      <c r="K284" s="3"/>
      <c r="L284" s="3"/>
      <c r="M284" s="3"/>
      <c r="N284" s="8"/>
      <c r="O284" s="50"/>
      <c r="P284" s="50"/>
      <c r="Q284" s="50"/>
      <c r="R284" s="50"/>
      <c r="S284" s="39"/>
      <c r="T284" s="39"/>
      <c r="U284" s="39"/>
      <c r="V284" s="39"/>
      <c r="W284" s="37" cm="1">
        <f t="array" ref="W284">CheckYellowFill(Table248[[#This Row],[MD
(m)]])</f>
        <v>1</v>
      </c>
      <c r="X284" s="39" cm="1">
        <f t="array" ref="X284">isfontcolorred(Table248[[#This Row],[MD
(m)]])</f>
        <v>0</v>
      </c>
      <c r="Y284" s="37">
        <f>IF(Table248[[#This Row],[Plug Depth
Plan
(m)]]&lt;&gt;0,1,0)</f>
        <v>1</v>
      </c>
      <c r="Z284" s="39">
        <v>4624.3</v>
      </c>
      <c r="AA284" s="40">
        <f>IF(Table248[[#This Row],[Plug Depth
Plan
(m)]]=0,"",ABS(Table248[[#This Row],[Plug Depth
Plan
(m)]]-Table248[[#This Row],[MD
(m)]]))</f>
        <v>16</v>
      </c>
    </row>
    <row r="285" spans="1:28" ht="16" thickBot="1" x14ac:dyDescent="0.25">
      <c r="A285" s="22">
        <v>4624.01</v>
      </c>
      <c r="B285" s="9">
        <v>2785.41</v>
      </c>
      <c r="C285" s="3">
        <v>90</v>
      </c>
      <c r="D285" s="3">
        <v>358.85</v>
      </c>
      <c r="E285" s="8">
        <v>1.1299999999999999</v>
      </c>
      <c r="F285" s="69">
        <v>1961.27</v>
      </c>
      <c r="G285" s="69">
        <v>199.95</v>
      </c>
      <c r="H285" s="69">
        <v>-0.6</v>
      </c>
      <c r="I285" s="69">
        <v>-0.96</v>
      </c>
      <c r="J285" s="7">
        <v>4565.01</v>
      </c>
      <c r="K285" s="3">
        <v>2784.29</v>
      </c>
      <c r="L285" s="3">
        <v>89.777000000000001</v>
      </c>
      <c r="M285" s="3">
        <v>0.05</v>
      </c>
      <c r="N285" s="8">
        <v>0</v>
      </c>
      <c r="O285" s="50">
        <v>1892.69</v>
      </c>
      <c r="P285" s="50">
        <v>189.48</v>
      </c>
      <c r="Q285" s="50">
        <v>0</v>
      </c>
      <c r="R285" s="50">
        <v>0</v>
      </c>
      <c r="S285" s="39">
        <v>2792.13</v>
      </c>
      <c r="T285" s="39">
        <f>ABS(Table248[[#This Row],[mTVD
Lower
Marker]]-Table248[[#This Row],[TVD
(m)]])</f>
        <v>6.7200000000002547</v>
      </c>
      <c r="U285" s="39">
        <v>2782.13</v>
      </c>
      <c r="V285" s="39">
        <f>ABS(Table248[[#This Row],[mTVD
Upper
Marker]]-Table248[[#This Row],[TVD
(m)]])</f>
        <v>3.2799999999997453</v>
      </c>
      <c r="W285" s="37" cm="1">
        <f t="array" ref="W285">CheckYellowFill(Table248[[#This Row],[MD
(m)]])</f>
        <v>0</v>
      </c>
      <c r="X285" s="39" cm="1">
        <f t="array" ref="X285">isfontcolorred(Table248[[#This Row],[MD
(m)]])</f>
        <v>0</v>
      </c>
      <c r="Y285" s="37">
        <v>1</v>
      </c>
      <c r="Z285" s="39"/>
      <c r="AA285" s="40" t="str">
        <f>IF(Table248[[#This Row],[Plug Depth
Plan
(m)]]=0,"",ABS(Table248[[#This Row],[Plug Depth
Plan
(m)]]-Table248[[#This Row],[MD
(m)]]))</f>
        <v/>
      </c>
    </row>
    <row r="286" spans="1:28" ht="16" thickBot="1" x14ac:dyDescent="0.25">
      <c r="A286" s="54">
        <v>4624.3</v>
      </c>
      <c r="B286" s="20">
        <v>2785.4097992384905</v>
      </c>
      <c r="C286" s="3"/>
      <c r="D286" s="3"/>
      <c r="E286" s="8"/>
      <c r="F286" s="48"/>
      <c r="G286" s="48"/>
      <c r="H286" s="48"/>
      <c r="I286" s="48"/>
      <c r="J286" s="7"/>
      <c r="K286" s="3"/>
      <c r="L286" s="3"/>
      <c r="M286" s="3"/>
      <c r="N286" s="8"/>
      <c r="O286" s="50"/>
      <c r="P286" s="50"/>
      <c r="Q286" s="50"/>
      <c r="R286" s="50"/>
      <c r="S286" s="39"/>
      <c r="T286" s="39"/>
      <c r="U286" s="39"/>
      <c r="V286" s="39"/>
      <c r="W286" s="37" cm="1">
        <f t="array" ref="W286">CheckYellowFill(Table248[[#This Row],[MD
(m)]])</f>
        <v>0</v>
      </c>
      <c r="X286" s="39" cm="1">
        <f t="array" ref="X286">isfontcolorred(Table248[[#This Row],[MD
(m)]])</f>
        <v>1</v>
      </c>
      <c r="Y286" s="37">
        <v>1</v>
      </c>
      <c r="Z286" s="39"/>
      <c r="AA286" s="40" t="str">
        <f>IF(Table248[[#This Row],[Plug Depth
Plan
(m)]]=0,"",ABS(Table248[[#This Row],[Plug Depth
Plan
(m)]]-Table248[[#This Row],[MD
(m)]]))</f>
        <v/>
      </c>
      <c r="AB286" s="28">
        <v>10722</v>
      </c>
    </row>
    <row r="287" spans="1:28" ht="16" thickBot="1" x14ac:dyDescent="0.25">
      <c r="A287" s="51">
        <v>4631.8</v>
      </c>
      <c r="B287" s="20">
        <v>2785.4046071304947</v>
      </c>
      <c r="C287" s="3"/>
      <c r="D287" s="3"/>
      <c r="E287" s="8"/>
      <c r="F287" s="48"/>
      <c r="G287" s="48"/>
      <c r="H287" s="48"/>
      <c r="I287" s="48"/>
      <c r="J287" s="7"/>
      <c r="K287" s="3"/>
      <c r="L287" s="3"/>
      <c r="M287" s="3"/>
      <c r="N287" s="8"/>
      <c r="O287" s="50"/>
      <c r="P287" s="50"/>
      <c r="Q287" s="50"/>
      <c r="R287" s="50"/>
      <c r="S287" s="39"/>
      <c r="T287" s="39"/>
      <c r="U287" s="39"/>
      <c r="V287" s="39"/>
      <c r="W287" s="37" cm="1">
        <f t="array" ref="W287">CheckYellowFill(Table248[[#This Row],[MD
(m)]])</f>
        <v>0</v>
      </c>
      <c r="X287" s="39" cm="1">
        <f t="array" ref="X287">isfontcolorred(Table248[[#This Row],[MD
(m)]])</f>
        <v>1</v>
      </c>
      <c r="Y287" s="37">
        <f>IF(Table248[[#This Row],[Plug Depth
Plan
(m)]]&lt;&gt;0,1,0)</f>
        <v>0</v>
      </c>
      <c r="Z287" s="39"/>
      <c r="AA287" s="40" t="str">
        <f>IF(Table248[[#This Row],[Plug Depth
Plan
(m)]]=0,"",ABS(Table248[[#This Row],[Plug Depth
Plan
(m)]]-Table248[[#This Row],[MD
(m)]]))</f>
        <v/>
      </c>
      <c r="AB287" s="28">
        <v>10722</v>
      </c>
    </row>
    <row r="288" spans="1:28" ht="16" thickBot="1" x14ac:dyDescent="0.25">
      <c r="A288" s="54">
        <v>4644.3</v>
      </c>
      <c r="B288" s="20">
        <v>2785.3959536171683</v>
      </c>
      <c r="C288" s="3"/>
      <c r="D288" s="3"/>
      <c r="E288" s="8"/>
      <c r="F288" s="48"/>
      <c r="G288" s="48"/>
      <c r="H288" s="48"/>
      <c r="I288" s="48"/>
      <c r="J288" s="7"/>
      <c r="K288" s="3"/>
      <c r="L288" s="3"/>
      <c r="M288" s="3"/>
      <c r="N288" s="8"/>
      <c r="O288" s="50"/>
      <c r="P288" s="50"/>
      <c r="Q288" s="50"/>
      <c r="R288" s="50"/>
      <c r="S288" s="39"/>
      <c r="T288" s="39"/>
      <c r="U288" s="39"/>
      <c r="V288" s="39"/>
      <c r="W288" s="37" cm="1">
        <f t="array" ref="W288">CheckYellowFill(Table248[[#This Row],[MD
(m)]])</f>
        <v>0</v>
      </c>
      <c r="X288" s="39" cm="1">
        <f t="array" ref="X288">isfontcolorred(Table248[[#This Row],[MD
(m)]])</f>
        <v>1</v>
      </c>
      <c r="Y288" s="37">
        <f>IF(Table248[[#This Row],[Plug Depth
Plan
(m)]]&lt;&gt;0,1,0)</f>
        <v>0</v>
      </c>
      <c r="Z288" s="39"/>
      <c r="AA288" s="40" t="str">
        <f>IF(Table248[[#This Row],[Plug Depth
Plan
(m)]]=0,"",ABS(Table248[[#This Row],[Plug Depth
Plan
(m)]]-Table248[[#This Row],[MD
(m)]]))</f>
        <v/>
      </c>
      <c r="AB288" s="28">
        <v>10722</v>
      </c>
    </row>
    <row r="289" spans="1:28" ht="16" thickBot="1" x14ac:dyDescent="0.25">
      <c r="A289" s="22">
        <v>4652.8999999999996</v>
      </c>
      <c r="B289" s="9">
        <v>2785.39</v>
      </c>
      <c r="C289" s="3">
        <v>90.06</v>
      </c>
      <c r="D289" s="3">
        <v>0.53</v>
      </c>
      <c r="E289" s="8">
        <v>1.75</v>
      </c>
      <c r="F289" s="69">
        <v>1990.16</v>
      </c>
      <c r="G289" s="69">
        <v>199.8</v>
      </c>
      <c r="H289" s="69">
        <v>0.06</v>
      </c>
      <c r="I289" s="69">
        <v>1.74</v>
      </c>
      <c r="J289" s="7">
        <v>4595.01</v>
      </c>
      <c r="K289" s="3">
        <v>2784.41</v>
      </c>
      <c r="L289" s="3">
        <v>89.777000000000001</v>
      </c>
      <c r="M289" s="3">
        <v>0.05</v>
      </c>
      <c r="N289" s="8">
        <v>0</v>
      </c>
      <c r="O289" s="50">
        <v>1922.69</v>
      </c>
      <c r="P289" s="50">
        <v>189.5</v>
      </c>
      <c r="Q289" s="50">
        <v>0</v>
      </c>
      <c r="R289" s="50">
        <v>0</v>
      </c>
      <c r="S289" s="39">
        <v>2792.09</v>
      </c>
      <c r="T289" s="39">
        <f>ABS(Table248[[#This Row],[mTVD
Lower
Marker]]-Table248[[#This Row],[TVD
(m)]])</f>
        <v>6.7000000000002728</v>
      </c>
      <c r="U289" s="39">
        <v>2782.09</v>
      </c>
      <c r="V289" s="39">
        <f>ABS(Table248[[#This Row],[mTVD
Upper
Marker]]-Table248[[#This Row],[TVD
(m)]])</f>
        <v>3.2999999999997272</v>
      </c>
      <c r="W289" s="37" cm="1">
        <f t="array" ref="W289">CheckYellowFill(Table248[[#This Row],[MD
(m)]])</f>
        <v>0</v>
      </c>
      <c r="X289" s="39" cm="1">
        <f t="array" ref="X289">isfontcolorred(Table248[[#This Row],[MD
(m)]])</f>
        <v>0</v>
      </c>
      <c r="Y289" s="37">
        <f>IF(Table248[[#This Row],[Plug Depth
Plan
(m)]]&lt;&gt;0,1,0)</f>
        <v>0</v>
      </c>
      <c r="Z289" s="39"/>
      <c r="AA289" s="40" t="str">
        <f>IF(Table248[[#This Row],[Plug Depth
Plan
(m)]]=0,"",ABS(Table248[[#This Row],[Plug Depth
Plan
(m)]]-Table248[[#This Row],[MD
(m)]]))</f>
        <v/>
      </c>
    </row>
    <row r="290" spans="1:28" ht="16" thickBot="1" x14ac:dyDescent="0.25">
      <c r="A290" s="54">
        <v>4656.8</v>
      </c>
      <c r="B290" s="20">
        <v>2785.3926915113866</v>
      </c>
      <c r="C290" s="3"/>
      <c r="D290" s="3"/>
      <c r="E290" s="8"/>
      <c r="F290" s="48"/>
      <c r="G290" s="48"/>
      <c r="H290" s="48"/>
      <c r="I290" s="48"/>
      <c r="J290" s="7"/>
      <c r="K290" s="3"/>
      <c r="L290" s="3"/>
      <c r="M290" s="3"/>
      <c r="N290" s="8"/>
      <c r="O290" s="50"/>
      <c r="P290" s="50"/>
      <c r="Q290" s="50"/>
      <c r="R290" s="50"/>
      <c r="S290" s="39"/>
      <c r="T290" s="39"/>
      <c r="U290" s="39"/>
      <c r="V290" s="39"/>
      <c r="W290" s="37" cm="1">
        <f t="array" ref="W290">CheckYellowFill(Table248[[#This Row],[MD
(m)]])</f>
        <v>0</v>
      </c>
      <c r="X290" s="39" cm="1">
        <f t="array" ref="X290">isfontcolorred(Table248[[#This Row],[MD
(m)]])</f>
        <v>1</v>
      </c>
      <c r="Y290" s="37">
        <f>IF(Table248[[#This Row],[Plug Depth
Plan
(m)]]&lt;&gt;0,1,0)</f>
        <v>0</v>
      </c>
      <c r="Z290" s="39"/>
      <c r="AA290" s="40" t="str">
        <f>IF(Table248[[#This Row],[Plug Depth
Plan
(m)]]=0,"",ABS(Table248[[#This Row],[Plug Depth
Plan
(m)]]-Table248[[#This Row],[MD
(m)]]))</f>
        <v/>
      </c>
      <c r="AB290" s="28">
        <v>10722</v>
      </c>
    </row>
    <row r="291" spans="1:28" ht="16" thickBot="1" x14ac:dyDescent="0.25">
      <c r="A291" s="54">
        <v>4669.3</v>
      </c>
      <c r="B291" s="20">
        <v>2785.4013181504479</v>
      </c>
      <c r="C291" s="3"/>
      <c r="D291" s="3"/>
      <c r="E291" s="8"/>
      <c r="F291" s="48"/>
      <c r="G291" s="48"/>
      <c r="H291" s="48"/>
      <c r="I291" s="48"/>
      <c r="J291" s="7"/>
      <c r="K291" s="3"/>
      <c r="L291" s="3"/>
      <c r="M291" s="3"/>
      <c r="N291" s="8"/>
      <c r="O291" s="50"/>
      <c r="P291" s="50"/>
      <c r="Q291" s="50"/>
      <c r="R291" s="50"/>
      <c r="S291" s="39"/>
      <c r="T291" s="39"/>
      <c r="U291" s="39"/>
      <c r="V291" s="39"/>
      <c r="W291" s="37" cm="1">
        <f t="array" ref="W291">CheckYellowFill(Table248[[#This Row],[MD
(m)]])</f>
        <v>0</v>
      </c>
      <c r="X291" s="39" cm="1">
        <f t="array" ref="X291">isfontcolorred(Table248[[#This Row],[MD
(m)]])</f>
        <v>1</v>
      </c>
      <c r="Y291" s="37">
        <f>IF(Table248[[#This Row],[Plug Depth
Plan
(m)]]&lt;&gt;0,1,0)</f>
        <v>0</v>
      </c>
      <c r="Z291" s="39"/>
      <c r="AA291" s="40" t="str">
        <f>IF(Table248[[#This Row],[Plug Depth
Plan
(m)]]=0,"",ABS(Table248[[#This Row],[Plug Depth
Plan
(m)]]-Table248[[#This Row],[MD
(m)]]))</f>
        <v/>
      </c>
      <c r="AB291" s="28">
        <v>10722</v>
      </c>
    </row>
    <row r="292" spans="1:28" ht="16" thickBot="1" x14ac:dyDescent="0.25">
      <c r="A292" s="51">
        <v>4681.8</v>
      </c>
      <c r="B292" s="20">
        <v>2785.4099447895096</v>
      </c>
      <c r="C292" s="3"/>
      <c r="D292" s="3"/>
      <c r="E292" s="8"/>
      <c r="F292" s="48"/>
      <c r="G292" s="48"/>
      <c r="H292" s="48"/>
      <c r="I292" s="48"/>
      <c r="J292" s="7"/>
      <c r="K292" s="3"/>
      <c r="L292" s="3"/>
      <c r="M292" s="3"/>
      <c r="N292" s="8"/>
      <c r="O292" s="50"/>
      <c r="P292" s="50"/>
      <c r="Q292" s="50"/>
      <c r="R292" s="50"/>
      <c r="S292" s="39"/>
      <c r="T292" s="39"/>
      <c r="U292" s="39"/>
      <c r="V292" s="39"/>
      <c r="W292" s="37" cm="1">
        <f t="array" ref="W292">CheckYellowFill(Table248[[#This Row],[MD
(m)]])</f>
        <v>0</v>
      </c>
      <c r="X292" s="39" cm="1">
        <f t="array" ref="X292">isfontcolorred(Table248[[#This Row],[MD
(m)]])</f>
        <v>1</v>
      </c>
      <c r="Y292" s="37">
        <f>IF(Table248[[#This Row],[Plug Depth
Plan
(m)]]&lt;&gt;0,1,0)</f>
        <v>0</v>
      </c>
      <c r="Z292" s="39"/>
      <c r="AA292" s="40" t="str">
        <f>IF(Table248[[#This Row],[Plug Depth
Plan
(m)]]=0,"",ABS(Table248[[#This Row],[Plug Depth
Plan
(m)]]-Table248[[#This Row],[MD
(m)]]))</f>
        <v/>
      </c>
      <c r="AB292" s="28">
        <v>9803</v>
      </c>
    </row>
    <row r="293" spans="1:28" ht="16" thickBot="1" x14ac:dyDescent="0.25">
      <c r="A293" s="22">
        <v>4681.88</v>
      </c>
      <c r="B293" s="9">
        <v>2785.41</v>
      </c>
      <c r="C293" s="3">
        <v>89.88</v>
      </c>
      <c r="D293" s="3">
        <v>2.64</v>
      </c>
      <c r="E293" s="8">
        <v>2.19</v>
      </c>
      <c r="F293" s="69">
        <v>2019.13</v>
      </c>
      <c r="G293" s="69">
        <v>200.6</v>
      </c>
      <c r="H293" s="69">
        <v>-0.19</v>
      </c>
      <c r="I293" s="69">
        <v>2.1800000000000002</v>
      </c>
      <c r="J293" s="7">
        <v>4625.01</v>
      </c>
      <c r="K293" s="3">
        <v>2784.53</v>
      </c>
      <c r="L293" s="3">
        <v>89.777000000000001</v>
      </c>
      <c r="M293" s="3">
        <v>0.05</v>
      </c>
      <c r="N293" s="8">
        <v>0</v>
      </c>
      <c r="O293" s="50">
        <v>1952.69</v>
      </c>
      <c r="P293" s="50">
        <v>189.53</v>
      </c>
      <c r="Q293" s="50">
        <v>0</v>
      </c>
      <c r="R293" s="50">
        <v>0</v>
      </c>
      <c r="S293" s="39">
        <v>2792.05</v>
      </c>
      <c r="T293" s="39">
        <f>ABS(Table248[[#This Row],[mTVD
Lower
Marker]]-Table248[[#This Row],[TVD
(m)]])</f>
        <v>6.6400000000003274</v>
      </c>
      <c r="U293" s="39">
        <v>2782.05</v>
      </c>
      <c r="V293" s="39">
        <f>ABS(Table248[[#This Row],[mTVD
Upper
Marker]]-Table248[[#This Row],[TVD
(m)]])</f>
        <v>3.3599999999996726</v>
      </c>
      <c r="W293" s="37" cm="1">
        <f t="array" ref="W293">CheckYellowFill(Table248[[#This Row],[MD
(m)]])</f>
        <v>0</v>
      </c>
      <c r="X293" s="39" cm="1">
        <f t="array" ref="X293">isfontcolorred(Table248[[#This Row],[MD
(m)]])</f>
        <v>0</v>
      </c>
      <c r="Y293" s="37">
        <f>IF(Table248[[#This Row],[Plug Depth
Plan
(m)]]&lt;&gt;0,1,0)</f>
        <v>0</v>
      </c>
      <c r="Z293" s="39"/>
      <c r="AA293" s="40" t="str">
        <f>IF(Table248[[#This Row],[Plug Depth
Plan
(m)]]=0,"",ABS(Table248[[#This Row],[Plug Depth
Plan
(m)]]-Table248[[#This Row],[MD
(m)]]))</f>
        <v/>
      </c>
    </row>
    <row r="294" spans="1:28" ht="16" thickBot="1" x14ac:dyDescent="0.25">
      <c r="A294" s="54">
        <v>4694.3</v>
      </c>
      <c r="B294" s="21">
        <v>2785.375547850208</v>
      </c>
      <c r="C294" s="3"/>
      <c r="D294" s="3"/>
      <c r="E294" s="8"/>
      <c r="F294" s="48"/>
      <c r="G294" s="48"/>
      <c r="H294" s="48"/>
      <c r="I294" s="48"/>
      <c r="J294" s="7"/>
      <c r="K294" s="3"/>
      <c r="L294" s="3"/>
      <c r="M294" s="3"/>
      <c r="N294" s="8"/>
      <c r="O294" s="50"/>
      <c r="P294" s="50"/>
      <c r="Q294" s="50"/>
      <c r="R294" s="50"/>
      <c r="S294" s="39"/>
      <c r="T294" s="39"/>
      <c r="U294" s="39"/>
      <c r="V294" s="39"/>
      <c r="W294" s="37" cm="1">
        <f t="array" ref="W294">CheckYellowFill(Table248[[#This Row],[MD
(m)]])</f>
        <v>0</v>
      </c>
      <c r="X294" s="39" cm="1">
        <f t="array" ref="X294">isfontcolorred(Table248[[#This Row],[MD
(m)]])</f>
        <v>1</v>
      </c>
      <c r="Y294" s="37">
        <f>IF(Table248[[#This Row],[Plug Depth
Plan
(m)]]&lt;&gt;0,1,0)</f>
        <v>0</v>
      </c>
      <c r="Z294" s="39"/>
      <c r="AA294" s="40" t="str">
        <f>IF(Table248[[#This Row],[Plug Depth
Plan
(m)]]=0,"",ABS(Table248[[#This Row],[Plug Depth
Plan
(m)]]-Table248[[#This Row],[MD
(m)]]))</f>
        <v/>
      </c>
      <c r="AB294" s="28">
        <v>9803</v>
      </c>
    </row>
    <row r="295" spans="1:28" ht="16" thickBot="1" x14ac:dyDescent="0.25">
      <c r="A295" s="54">
        <v>4706.8</v>
      </c>
      <c r="B295" s="21">
        <v>2785.3408737864074</v>
      </c>
      <c r="C295" s="3"/>
      <c r="D295" s="3"/>
      <c r="E295" s="8"/>
      <c r="F295" s="48"/>
      <c r="G295" s="48"/>
      <c r="H295" s="48"/>
      <c r="I295" s="48"/>
      <c r="J295" s="7"/>
      <c r="K295" s="3"/>
      <c r="L295" s="3"/>
      <c r="M295" s="3"/>
      <c r="N295" s="8"/>
      <c r="O295" s="50"/>
      <c r="P295" s="50"/>
      <c r="Q295" s="50"/>
      <c r="R295" s="50"/>
      <c r="S295" s="39"/>
      <c r="T295" s="39"/>
      <c r="U295" s="39"/>
      <c r="V295" s="39"/>
      <c r="W295" s="37" cm="1">
        <f t="array" ref="W295">CheckYellowFill(Table248[[#This Row],[MD
(m)]])</f>
        <v>0</v>
      </c>
      <c r="X295" s="39" cm="1">
        <f t="array" ref="X295">isfontcolorred(Table248[[#This Row],[MD
(m)]])</f>
        <v>1</v>
      </c>
      <c r="Y295" s="37">
        <f>IF(Table248[[#This Row],[Plug Depth
Plan
(m)]]&lt;&gt;0,1,0)</f>
        <v>0</v>
      </c>
      <c r="Z295" s="39"/>
      <c r="AA295" s="40" t="str">
        <f>IF(Table248[[#This Row],[Plug Depth
Plan
(m)]]=0,"",ABS(Table248[[#This Row],[Plug Depth
Plan
(m)]]-Table248[[#This Row],[MD
(m)]]))</f>
        <v/>
      </c>
      <c r="AB295" s="28">
        <v>9803</v>
      </c>
    </row>
    <row r="296" spans="1:28" ht="16" thickBot="1" x14ac:dyDescent="0.25">
      <c r="A296" s="22">
        <v>4710.72</v>
      </c>
      <c r="B296" s="9">
        <v>2785.33</v>
      </c>
      <c r="C296" s="3">
        <v>90.43</v>
      </c>
      <c r="D296" s="3">
        <v>1.63</v>
      </c>
      <c r="E296" s="8">
        <v>1.2</v>
      </c>
      <c r="F296" s="69">
        <v>2047.95</v>
      </c>
      <c r="G296" s="69">
        <v>201.67</v>
      </c>
      <c r="H296" s="69">
        <v>0.56999999999999995</v>
      </c>
      <c r="I296" s="69">
        <v>-1.05</v>
      </c>
      <c r="J296" s="7">
        <v>4655.01</v>
      </c>
      <c r="K296" s="3">
        <v>2784.64</v>
      </c>
      <c r="L296" s="3">
        <v>89.777000000000001</v>
      </c>
      <c r="M296" s="3">
        <v>0.05</v>
      </c>
      <c r="N296" s="8">
        <v>0</v>
      </c>
      <c r="O296" s="50">
        <v>1982.69</v>
      </c>
      <c r="P296" s="50">
        <v>189.56</v>
      </c>
      <c r="Q296" s="50">
        <v>0</v>
      </c>
      <c r="R296" s="50">
        <v>0</v>
      </c>
      <c r="S296" s="39">
        <v>2792</v>
      </c>
      <c r="T296" s="39">
        <f>ABS(Table248[[#This Row],[mTVD
Lower
Marker]]-Table248[[#This Row],[TVD
(m)]])</f>
        <v>6.6700000000000728</v>
      </c>
      <c r="U296" s="39">
        <v>2782</v>
      </c>
      <c r="V296" s="39">
        <f>ABS(Table248[[#This Row],[mTVD
Upper
Marker]]-Table248[[#This Row],[TVD
(m)]])</f>
        <v>3.3299999999999272</v>
      </c>
      <c r="W296" s="37" cm="1">
        <f t="array" ref="W296">CheckYellowFill(Table248[[#This Row],[MD
(m)]])</f>
        <v>0</v>
      </c>
      <c r="X296" s="39" cm="1">
        <f t="array" ref="X296">isfontcolorred(Table248[[#This Row],[MD
(m)]])</f>
        <v>0</v>
      </c>
      <c r="Y296" s="37">
        <f>IF(Table248[[#This Row],[Plug Depth
Plan
(m)]]&lt;&gt;0,1,0)</f>
        <v>0</v>
      </c>
      <c r="Z296" s="39"/>
      <c r="AA296" s="40" t="str">
        <f>IF(Table248[[#This Row],[Plug Depth
Plan
(m)]]=0,"",ABS(Table248[[#This Row],[Plug Depth
Plan
(m)]]-Table248[[#This Row],[MD
(m)]]))</f>
        <v/>
      </c>
    </row>
    <row r="297" spans="1:28" ht="16" thickBot="1" x14ac:dyDescent="0.25">
      <c r="A297" s="51">
        <v>4719.3</v>
      </c>
      <c r="B297" s="20">
        <v>2785.2505283018868</v>
      </c>
      <c r="C297" s="3"/>
      <c r="D297" s="3"/>
      <c r="E297" s="8"/>
      <c r="F297" s="48"/>
      <c r="G297" s="48"/>
      <c r="H297" s="48"/>
      <c r="I297" s="48"/>
      <c r="J297" s="7"/>
      <c r="K297" s="3"/>
      <c r="L297" s="3"/>
      <c r="M297" s="3"/>
      <c r="N297" s="8"/>
      <c r="O297" s="50"/>
      <c r="P297" s="50"/>
      <c r="Q297" s="50"/>
      <c r="R297" s="50"/>
      <c r="S297" s="39"/>
      <c r="T297" s="39"/>
      <c r="U297" s="39"/>
      <c r="V297" s="39"/>
      <c r="W297" s="37" cm="1">
        <f t="array" ref="W297">CheckYellowFill(Table248[[#This Row],[MD
(m)]])</f>
        <v>0</v>
      </c>
      <c r="X297" s="39" cm="1">
        <f t="array" ref="X297">isfontcolorred(Table248[[#This Row],[MD
(m)]])</f>
        <v>1</v>
      </c>
      <c r="Y297" s="37">
        <f>IF(Table248[[#This Row],[Plug Depth
Plan
(m)]]&lt;&gt;0,1,0)</f>
        <v>0</v>
      </c>
      <c r="Z297" s="39"/>
      <c r="AA297" s="40" t="str">
        <f>IF(Table248[[#This Row],[Plug Depth
Plan
(m)]]=0,"",ABS(Table248[[#This Row],[Plug Depth
Plan
(m)]]-Table248[[#This Row],[MD
(m)]]))</f>
        <v/>
      </c>
      <c r="AB297" s="28">
        <v>9803</v>
      </c>
    </row>
    <row r="298" spans="1:28" ht="16" thickBot="1" x14ac:dyDescent="0.25">
      <c r="A298" s="59">
        <v>4724.3</v>
      </c>
      <c r="B298" s="58">
        <v>2785.204216123499</v>
      </c>
      <c r="C298" s="3"/>
      <c r="D298" s="3"/>
      <c r="E298" s="8"/>
      <c r="F298" s="48"/>
      <c r="G298" s="48"/>
      <c r="H298" s="48"/>
      <c r="I298" s="48"/>
      <c r="J298" s="7"/>
      <c r="K298" s="3"/>
      <c r="L298" s="3"/>
      <c r="M298" s="3"/>
      <c r="N298" s="8"/>
      <c r="O298" s="50"/>
      <c r="P298" s="50"/>
      <c r="Q298" s="50"/>
      <c r="R298" s="50"/>
      <c r="S298" s="39"/>
      <c r="T298" s="39"/>
      <c r="U298" s="39"/>
      <c r="V298" s="39"/>
      <c r="W298" s="37" cm="1">
        <f t="array" ref="W298">CheckYellowFill(Table248[[#This Row],[MD
(m)]])</f>
        <v>1</v>
      </c>
      <c r="X298" s="39" cm="1">
        <f t="array" ref="X298">isfontcolorred(Table248[[#This Row],[MD
(m)]])</f>
        <v>0</v>
      </c>
      <c r="Y298" s="37">
        <f>IF(Table248[[#This Row],[Plug Depth
Plan
(m)]]&lt;&gt;0,1,0)</f>
        <v>1</v>
      </c>
      <c r="Z298" s="39">
        <v>4854.8999999999996</v>
      </c>
      <c r="AA298" s="40">
        <f>IF(Table248[[#This Row],[Plug Depth
Plan
(m)]]=0,"",ABS(Table248[[#This Row],[Plug Depth
Plan
(m)]]-Table248[[#This Row],[MD
(m)]]))</f>
        <v>130.59999999999945</v>
      </c>
    </row>
    <row r="299" spans="1:28" ht="16" thickBot="1" x14ac:dyDescent="0.25">
      <c r="A299" s="22">
        <v>4739.87</v>
      </c>
      <c r="B299" s="9">
        <v>2785.06</v>
      </c>
      <c r="C299" s="3">
        <v>90.62</v>
      </c>
      <c r="D299" s="3">
        <v>0.74</v>
      </c>
      <c r="E299" s="8">
        <v>0.94</v>
      </c>
      <c r="F299" s="69">
        <v>2077.09</v>
      </c>
      <c r="G299" s="69">
        <v>202.28</v>
      </c>
      <c r="H299" s="69">
        <v>0.2</v>
      </c>
      <c r="I299" s="69">
        <v>-0.92</v>
      </c>
      <c r="J299" s="7">
        <v>4685.01</v>
      </c>
      <c r="K299" s="3">
        <v>2784.76</v>
      </c>
      <c r="L299" s="3">
        <v>89.777000000000001</v>
      </c>
      <c r="M299" s="3">
        <v>0.05</v>
      </c>
      <c r="N299" s="8">
        <v>0</v>
      </c>
      <c r="O299" s="50">
        <v>2012.68</v>
      </c>
      <c r="P299" s="50">
        <v>189.58</v>
      </c>
      <c r="Q299" s="50">
        <v>0</v>
      </c>
      <c r="R299" s="50">
        <v>0</v>
      </c>
      <c r="S299" s="39">
        <v>2791.81</v>
      </c>
      <c r="T299" s="39">
        <f>ABS(Table248[[#This Row],[mTVD
Lower
Marker]]-Table248[[#This Row],[TVD
(m)]])</f>
        <v>6.75</v>
      </c>
      <c r="U299" s="39">
        <v>2781.81</v>
      </c>
      <c r="V299" s="39">
        <f>ABS(Table248[[#This Row],[mTVD
Upper
Marker]]-Table248[[#This Row],[TVD
(m)]])</f>
        <v>3.25</v>
      </c>
      <c r="W299" s="37" cm="1">
        <f t="array" ref="W299">CheckYellowFill(Table248[[#This Row],[MD
(m)]])</f>
        <v>0</v>
      </c>
      <c r="X299" s="39" cm="1">
        <f t="array" ref="X299">isfontcolorred(Table248[[#This Row],[MD
(m)]])</f>
        <v>0</v>
      </c>
      <c r="Y299" s="37">
        <v>1</v>
      </c>
      <c r="Z299" s="39"/>
      <c r="AA299" s="40" t="str">
        <f>IF(Table248[[#This Row],[Plug Depth
Plan
(m)]]=0,"",ABS(Table248[[#This Row],[Plug Depth
Plan
(m)]]-Table248[[#This Row],[MD
(m)]]))</f>
        <v/>
      </c>
    </row>
    <row r="300" spans="1:28" ht="16" thickBot="1" x14ac:dyDescent="0.25">
      <c r="A300" s="22">
        <v>4768.9799999999996</v>
      </c>
      <c r="B300" s="9">
        <v>2785.34</v>
      </c>
      <c r="C300" s="3">
        <v>88.27</v>
      </c>
      <c r="D300" s="3">
        <v>0.57999999999999996</v>
      </c>
      <c r="E300" s="8">
        <v>2.4300000000000002</v>
      </c>
      <c r="F300" s="69">
        <v>2106.1999999999998</v>
      </c>
      <c r="G300" s="69">
        <v>202.61</v>
      </c>
      <c r="H300" s="69">
        <v>-2.42</v>
      </c>
      <c r="I300" s="69">
        <v>-0.16</v>
      </c>
      <c r="J300" s="7">
        <v>4715.01</v>
      </c>
      <c r="K300" s="3">
        <v>2784.88</v>
      </c>
      <c r="L300" s="3">
        <v>89.777000000000001</v>
      </c>
      <c r="M300" s="3">
        <v>0.05</v>
      </c>
      <c r="N300" s="8">
        <v>0</v>
      </c>
      <c r="O300" s="50">
        <v>2042.68</v>
      </c>
      <c r="P300" s="50">
        <v>189.61</v>
      </c>
      <c r="Q300" s="50">
        <v>0</v>
      </c>
      <c r="R300" s="50">
        <v>0</v>
      </c>
      <c r="S300" s="39">
        <v>2791.43</v>
      </c>
      <c r="T300" s="39">
        <f>ABS(Table248[[#This Row],[mTVD
Lower
Marker]]-Table248[[#This Row],[TVD
(m)]])</f>
        <v>6.0899999999996908</v>
      </c>
      <c r="U300" s="39">
        <v>2781.43</v>
      </c>
      <c r="V300" s="39">
        <f>ABS(Table248[[#This Row],[mTVD
Upper
Marker]]-Table248[[#This Row],[TVD
(m)]])</f>
        <v>3.9100000000003092</v>
      </c>
      <c r="W300" s="37" cm="1">
        <f t="array" ref="W300">CheckYellowFill(Table248[[#This Row],[MD
(m)]])</f>
        <v>0</v>
      </c>
      <c r="X300" s="39" cm="1">
        <f t="array" ref="X300">isfontcolorred(Table248[[#This Row],[MD
(m)]])</f>
        <v>0</v>
      </c>
      <c r="Y300" s="37">
        <v>1</v>
      </c>
      <c r="Z300" s="39"/>
      <c r="AA300" s="40" t="str">
        <f>IF(Table248[[#This Row],[Plug Depth
Plan
(m)]]=0,"",ABS(Table248[[#This Row],[Plug Depth
Plan
(m)]]-Table248[[#This Row],[MD
(m)]]))</f>
        <v/>
      </c>
    </row>
    <row r="301" spans="1:28" ht="16" thickBot="1" x14ac:dyDescent="0.25">
      <c r="A301" s="22">
        <v>4797.76</v>
      </c>
      <c r="B301" s="9">
        <v>2785.85</v>
      </c>
      <c r="C301" s="3">
        <v>89.72</v>
      </c>
      <c r="D301" s="3">
        <v>0.94</v>
      </c>
      <c r="E301" s="8">
        <v>1.56</v>
      </c>
      <c r="F301" s="69">
        <v>2134.9699999999998</v>
      </c>
      <c r="G301" s="69">
        <v>202.99</v>
      </c>
      <c r="H301" s="69">
        <v>1.51</v>
      </c>
      <c r="I301" s="69">
        <v>0.38</v>
      </c>
      <c r="J301" s="7">
        <v>4745.01</v>
      </c>
      <c r="K301" s="3">
        <v>2784.99</v>
      </c>
      <c r="L301" s="3">
        <v>89.777000000000001</v>
      </c>
      <c r="M301" s="3">
        <v>0.05</v>
      </c>
      <c r="N301" s="8">
        <v>0</v>
      </c>
      <c r="O301" s="50">
        <v>2072.6799999999998</v>
      </c>
      <c r="P301" s="50">
        <v>189.64</v>
      </c>
      <c r="Q301" s="50">
        <v>0</v>
      </c>
      <c r="R301" s="50">
        <v>0</v>
      </c>
      <c r="S301" s="39">
        <v>2791.36</v>
      </c>
      <c r="T301" s="39">
        <f>ABS(Table248[[#This Row],[mTVD
Lower
Marker]]-Table248[[#This Row],[TVD
(m)]])</f>
        <v>5.5100000000002183</v>
      </c>
      <c r="U301" s="39">
        <v>2781.36</v>
      </c>
      <c r="V301" s="39">
        <f>ABS(Table248[[#This Row],[mTVD
Upper
Marker]]-Table248[[#This Row],[TVD
(m)]])</f>
        <v>4.4899999999997817</v>
      </c>
      <c r="W301" s="37" cm="1">
        <f t="array" ref="W301">CheckYellowFill(Table248[[#This Row],[MD
(m)]])</f>
        <v>0</v>
      </c>
      <c r="X301" s="39" cm="1">
        <f t="array" ref="X301">isfontcolorred(Table248[[#This Row],[MD
(m)]])</f>
        <v>0</v>
      </c>
      <c r="Y301" s="37">
        <v>1</v>
      </c>
      <c r="Z301" s="39"/>
      <c r="AA301" s="40" t="str">
        <f>IF(Table248[[#This Row],[Plug Depth
Plan
(m)]]=0,"",ABS(Table248[[#This Row],[Plug Depth
Plan
(m)]]-Table248[[#This Row],[MD
(m)]]))</f>
        <v/>
      </c>
    </row>
    <row r="302" spans="1:28" ht="16" thickBot="1" x14ac:dyDescent="0.25">
      <c r="A302" s="22">
        <v>4826.84</v>
      </c>
      <c r="B302" s="9">
        <v>2786.19</v>
      </c>
      <c r="C302" s="3">
        <v>88.95</v>
      </c>
      <c r="D302" s="3">
        <v>359.21</v>
      </c>
      <c r="E302" s="8">
        <v>1.95</v>
      </c>
      <c r="F302" s="69">
        <v>2164.04</v>
      </c>
      <c r="G302" s="69">
        <v>203.03</v>
      </c>
      <c r="H302" s="69">
        <v>-0.79</v>
      </c>
      <c r="I302" s="69">
        <v>-1.78</v>
      </c>
      <c r="J302" s="7">
        <v>4775.01</v>
      </c>
      <c r="K302" s="3">
        <v>2785.11</v>
      </c>
      <c r="L302" s="3">
        <v>89.777000000000001</v>
      </c>
      <c r="M302" s="3">
        <v>0.05</v>
      </c>
      <c r="N302" s="8">
        <v>0</v>
      </c>
      <c r="O302" s="50">
        <v>2102.6799999999998</v>
      </c>
      <c r="P302" s="50">
        <v>189.66</v>
      </c>
      <c r="Q302" s="50">
        <v>0</v>
      </c>
      <c r="R302" s="50">
        <v>0</v>
      </c>
      <c r="S302" s="39">
        <v>2791.56</v>
      </c>
      <c r="T302" s="39">
        <f>ABS(Table248[[#This Row],[mTVD
Lower
Marker]]-Table248[[#This Row],[TVD
(m)]])</f>
        <v>5.3699999999998909</v>
      </c>
      <c r="U302" s="39">
        <v>2781.56</v>
      </c>
      <c r="V302" s="39">
        <f>ABS(Table248[[#This Row],[mTVD
Upper
Marker]]-Table248[[#This Row],[TVD
(m)]])</f>
        <v>4.6300000000001091</v>
      </c>
      <c r="W302" s="37" cm="1">
        <f t="array" ref="W302">CheckYellowFill(Table248[[#This Row],[MD
(m)]])</f>
        <v>0</v>
      </c>
      <c r="X302" s="39" cm="1">
        <f t="array" ref="X302">isfontcolorred(Table248[[#This Row],[MD
(m)]])</f>
        <v>0</v>
      </c>
      <c r="Y302" s="37">
        <v>1</v>
      </c>
      <c r="Z302" s="39"/>
      <c r="AA302" s="40" t="str">
        <f>IF(Table248[[#This Row],[Plug Depth
Plan
(m)]]=0,"",ABS(Table248[[#This Row],[Plug Depth
Plan
(m)]]-Table248[[#This Row],[MD
(m)]]))</f>
        <v/>
      </c>
    </row>
    <row r="303" spans="1:28" ht="16" thickBot="1" x14ac:dyDescent="0.25">
      <c r="A303" s="54">
        <v>4854.8999999999996</v>
      </c>
      <c r="B303" s="20">
        <v>2786.6446087556019</v>
      </c>
      <c r="C303" s="3"/>
      <c r="D303" s="3"/>
      <c r="E303" s="8"/>
      <c r="F303" s="48"/>
      <c r="G303" s="48"/>
      <c r="H303" s="48"/>
      <c r="I303" s="48"/>
      <c r="J303" s="7"/>
      <c r="K303" s="3"/>
      <c r="L303" s="3"/>
      <c r="M303" s="3"/>
      <c r="N303" s="8"/>
      <c r="O303" s="50"/>
      <c r="P303" s="50"/>
      <c r="Q303" s="50"/>
      <c r="R303" s="50"/>
      <c r="S303" s="39"/>
      <c r="T303" s="39"/>
      <c r="U303" s="39"/>
      <c r="V303" s="39"/>
      <c r="W303" s="37" cm="1">
        <f t="array" ref="W303">CheckYellowFill(Table248[[#This Row],[MD
(m)]])</f>
        <v>0</v>
      </c>
      <c r="X303" s="39" cm="1">
        <f t="array" ref="X303">isfontcolorred(Table248[[#This Row],[MD
(m)]])</f>
        <v>1</v>
      </c>
      <c r="Y303" s="37">
        <v>1</v>
      </c>
      <c r="Z303" s="39"/>
      <c r="AA303" s="40" t="str">
        <f>IF(Table248[[#This Row],[Plug Depth
Plan
(m)]]=0,"",ABS(Table248[[#This Row],[Plug Depth
Plan
(m)]]-Table248[[#This Row],[MD
(m)]]))</f>
        <v/>
      </c>
      <c r="AB303" s="28">
        <v>10620</v>
      </c>
    </row>
    <row r="304" spans="1:28" ht="16" thickBot="1" x14ac:dyDescent="0.25">
      <c r="A304" s="22">
        <v>4855.8500000000004</v>
      </c>
      <c r="B304" s="9">
        <v>2786.66</v>
      </c>
      <c r="C304" s="3">
        <v>89.17</v>
      </c>
      <c r="D304" s="3">
        <v>359.06</v>
      </c>
      <c r="E304" s="8">
        <v>0.28000000000000003</v>
      </c>
      <c r="F304" s="69">
        <v>2193.0500000000002</v>
      </c>
      <c r="G304" s="69">
        <v>202.59</v>
      </c>
      <c r="H304" s="69">
        <v>0.23</v>
      </c>
      <c r="I304" s="69">
        <v>-0.16</v>
      </c>
      <c r="J304" s="7">
        <v>4805.01</v>
      </c>
      <c r="K304" s="3">
        <v>2785.23</v>
      </c>
      <c r="L304" s="3">
        <v>89.777000000000001</v>
      </c>
      <c r="M304" s="3">
        <v>0.05</v>
      </c>
      <c r="N304" s="8">
        <v>0</v>
      </c>
      <c r="O304" s="50">
        <v>2132.6799999999998</v>
      </c>
      <c r="P304" s="50">
        <v>189.69</v>
      </c>
      <c r="Q304" s="50">
        <v>0</v>
      </c>
      <c r="R304" s="50">
        <v>0</v>
      </c>
      <c r="S304" s="39">
        <v>2791.76</v>
      </c>
      <c r="T304" s="39">
        <f>ABS(Table248[[#This Row],[mTVD
Lower
Marker]]-Table248[[#This Row],[TVD
(m)]])</f>
        <v>5.1000000000003638</v>
      </c>
      <c r="U304" s="39">
        <v>2781.76</v>
      </c>
      <c r="V304" s="39">
        <f>ABS(Table248[[#This Row],[mTVD
Upper
Marker]]-Table248[[#This Row],[TVD
(m)]])</f>
        <v>4.8999999999996362</v>
      </c>
      <c r="W304" s="37" cm="1">
        <f t="array" ref="W304">CheckYellowFill(Table248[[#This Row],[MD
(m)]])</f>
        <v>0</v>
      </c>
      <c r="X304" s="39" cm="1">
        <f t="array" ref="X304">isfontcolorred(Table248[[#This Row],[MD
(m)]])</f>
        <v>0</v>
      </c>
      <c r="Y304" s="37">
        <f>IF(Table248[[#This Row],[Plug Depth
Plan
(m)]]&lt;&gt;0,1,0)</f>
        <v>0</v>
      </c>
      <c r="Z304" s="39"/>
      <c r="AA304" s="40" t="str">
        <f>IF(Table248[[#This Row],[Plug Depth
Plan
(m)]]=0,"",ABS(Table248[[#This Row],[Plug Depth
Plan
(m)]]-Table248[[#This Row],[MD
(m)]]))</f>
        <v/>
      </c>
    </row>
    <row r="305" spans="1:28" ht="16" thickBot="1" x14ac:dyDescent="0.25">
      <c r="A305" s="54">
        <v>4862.3999999999996</v>
      </c>
      <c r="B305" s="21">
        <v>2786.7588001371273</v>
      </c>
      <c r="C305" s="3"/>
      <c r="D305" s="3"/>
      <c r="E305" s="8"/>
      <c r="F305" s="48"/>
      <c r="G305" s="48"/>
      <c r="H305" s="48"/>
      <c r="I305" s="48"/>
      <c r="J305" s="7"/>
      <c r="K305" s="3"/>
      <c r="L305" s="3"/>
      <c r="M305" s="3"/>
      <c r="N305" s="8"/>
      <c r="O305" s="50"/>
      <c r="P305" s="50"/>
      <c r="Q305" s="50"/>
      <c r="R305" s="50"/>
      <c r="S305" s="39"/>
      <c r="T305" s="39"/>
      <c r="U305" s="39"/>
      <c r="V305" s="39"/>
      <c r="W305" s="37" cm="1">
        <f t="array" ref="W305">CheckYellowFill(Table248[[#This Row],[MD
(m)]])</f>
        <v>0</v>
      </c>
      <c r="X305" s="39" cm="1">
        <f t="array" ref="X305">isfontcolorred(Table248[[#This Row],[MD
(m)]])</f>
        <v>1</v>
      </c>
      <c r="Y305" s="37">
        <f>IF(Table248[[#This Row],[Plug Depth
Plan
(m)]]&lt;&gt;0,1,0)</f>
        <v>0</v>
      </c>
      <c r="Z305" s="39"/>
      <c r="AA305" s="40" t="str">
        <f>IF(Table248[[#This Row],[Plug Depth
Plan
(m)]]=0,"",ABS(Table248[[#This Row],[Plug Depth
Plan
(m)]]-Table248[[#This Row],[MD
(m)]]))</f>
        <v/>
      </c>
      <c r="AB305" s="28">
        <v>10620</v>
      </c>
    </row>
    <row r="306" spans="1:28" ht="16" thickBot="1" x14ac:dyDescent="0.25">
      <c r="A306" s="51">
        <v>4874.8999999999996</v>
      </c>
      <c r="B306" s="20">
        <v>2786.9473500171407</v>
      </c>
      <c r="C306" s="3"/>
      <c r="D306" s="3"/>
      <c r="E306" s="8"/>
      <c r="F306" s="48"/>
      <c r="G306" s="48"/>
      <c r="H306" s="48"/>
      <c r="I306" s="48"/>
      <c r="J306" s="7"/>
      <c r="K306" s="3"/>
      <c r="L306" s="3"/>
      <c r="M306" s="3"/>
      <c r="N306" s="8"/>
      <c r="O306" s="50"/>
      <c r="P306" s="50"/>
      <c r="Q306" s="50"/>
      <c r="R306" s="50"/>
      <c r="S306" s="39"/>
      <c r="T306" s="39"/>
      <c r="U306" s="39"/>
      <c r="V306" s="39"/>
      <c r="W306" s="37" cm="1">
        <f t="array" ref="W306">CheckYellowFill(Table248[[#This Row],[MD
(m)]])</f>
        <v>0</v>
      </c>
      <c r="X306" s="39" cm="1">
        <f t="array" ref="X306">isfontcolorred(Table248[[#This Row],[MD
(m)]])</f>
        <v>1</v>
      </c>
      <c r="Y306" s="37">
        <f>IF(Table248[[#This Row],[Plug Depth
Plan
(m)]]&lt;&gt;0,1,0)</f>
        <v>0</v>
      </c>
      <c r="Z306" s="39"/>
      <c r="AA306" s="40" t="str">
        <f>IF(Table248[[#This Row],[Plug Depth
Plan
(m)]]=0,"",ABS(Table248[[#This Row],[Plug Depth
Plan
(m)]]-Table248[[#This Row],[MD
(m)]]))</f>
        <v/>
      </c>
      <c r="AB306" s="28">
        <v>10620</v>
      </c>
    </row>
    <row r="307" spans="1:28" ht="16" thickBot="1" x14ac:dyDescent="0.25">
      <c r="A307" s="22">
        <v>4885.0200000000004</v>
      </c>
      <c r="B307" s="9">
        <v>2787.1</v>
      </c>
      <c r="C307" s="3">
        <v>89.11</v>
      </c>
      <c r="D307" s="3">
        <v>359.5</v>
      </c>
      <c r="E307" s="8">
        <v>0.46</v>
      </c>
      <c r="F307" s="69">
        <v>2222.21</v>
      </c>
      <c r="G307" s="69">
        <v>202.23</v>
      </c>
      <c r="H307" s="69">
        <v>-0.06</v>
      </c>
      <c r="I307" s="69">
        <v>0.45</v>
      </c>
      <c r="J307" s="7">
        <v>4835.01</v>
      </c>
      <c r="K307" s="3">
        <v>2785.35</v>
      </c>
      <c r="L307" s="3">
        <v>89.777000000000001</v>
      </c>
      <c r="M307" s="3">
        <v>0.05</v>
      </c>
      <c r="N307" s="8">
        <v>0</v>
      </c>
      <c r="O307" s="50">
        <v>2162.6799999999998</v>
      </c>
      <c r="P307" s="50">
        <v>189.71</v>
      </c>
      <c r="Q307" s="50">
        <v>0</v>
      </c>
      <c r="R307" s="50">
        <v>0</v>
      </c>
      <c r="S307" s="39">
        <v>2791.93</v>
      </c>
      <c r="T307" s="39">
        <f>ABS(Table248[[#This Row],[mTVD
Lower
Marker]]-Table248[[#This Row],[TVD
(m)]])</f>
        <v>4.8299999999999272</v>
      </c>
      <c r="U307" s="39">
        <v>2781.93</v>
      </c>
      <c r="V307" s="39">
        <f>ABS(Table248[[#This Row],[mTVD
Upper
Marker]]-Table248[[#This Row],[TVD
(m)]])</f>
        <v>5.1700000000000728</v>
      </c>
      <c r="W307" s="37" cm="1">
        <f t="array" ref="W307">CheckYellowFill(Table248[[#This Row],[MD
(m)]])</f>
        <v>0</v>
      </c>
      <c r="X307" s="39" cm="1">
        <f t="array" ref="X307">isfontcolorred(Table248[[#This Row],[MD
(m)]])</f>
        <v>0</v>
      </c>
      <c r="Y307" s="37">
        <f>IF(Table248[[#This Row],[Plug Depth
Plan
(m)]]&lt;&gt;0,1,0)</f>
        <v>0</v>
      </c>
      <c r="Z307" s="39"/>
      <c r="AA307" s="40" t="str">
        <f>IF(Table248[[#This Row],[Plug Depth
Plan
(m)]]=0,"",ABS(Table248[[#This Row],[Plug Depth
Plan
(m)]]-Table248[[#This Row],[MD
(m)]]))</f>
        <v/>
      </c>
    </row>
    <row r="308" spans="1:28" ht="16" thickBot="1" x14ac:dyDescent="0.25">
      <c r="A308" s="54">
        <v>4887.3999999999996</v>
      </c>
      <c r="B308" s="20">
        <v>2787.1158499824742</v>
      </c>
      <c r="C308" s="3"/>
      <c r="D308" s="3"/>
      <c r="E308" s="8"/>
      <c r="F308" s="48"/>
      <c r="G308" s="48"/>
      <c r="H308" s="48"/>
      <c r="I308" s="48"/>
      <c r="J308" s="7"/>
      <c r="K308" s="3"/>
      <c r="L308" s="3"/>
      <c r="M308" s="3"/>
      <c r="N308" s="8"/>
      <c r="O308" s="50"/>
      <c r="P308" s="50"/>
      <c r="Q308" s="50"/>
      <c r="R308" s="50"/>
      <c r="S308" s="39"/>
      <c r="T308" s="39"/>
      <c r="U308" s="39"/>
      <c r="V308" s="39"/>
      <c r="W308" s="37" cm="1">
        <f t="array" ref="W308">CheckYellowFill(Table248[[#This Row],[MD
(m)]])</f>
        <v>0</v>
      </c>
      <c r="X308" s="39" cm="1">
        <f t="array" ref="X308">isfontcolorred(Table248[[#This Row],[MD
(m)]])</f>
        <v>1</v>
      </c>
      <c r="Y308" s="37">
        <f>IF(Table248[[#This Row],[Plug Depth
Plan
(m)]]&lt;&gt;0,1,0)</f>
        <v>0</v>
      </c>
      <c r="Z308" s="39"/>
      <c r="AA308" s="40" t="str">
        <f>IF(Table248[[#This Row],[Plug Depth
Plan
(m)]]=0,"",ABS(Table248[[#This Row],[Plug Depth
Plan
(m)]]-Table248[[#This Row],[MD
(m)]]))</f>
        <v/>
      </c>
      <c r="AB308" s="28">
        <v>10620</v>
      </c>
    </row>
    <row r="309" spans="1:28" ht="16" thickBot="1" x14ac:dyDescent="0.25">
      <c r="A309" s="54">
        <v>4899.8999999999996</v>
      </c>
      <c r="B309" s="20">
        <v>2787.1990956887485</v>
      </c>
      <c r="C309" s="3"/>
      <c r="D309" s="3"/>
      <c r="E309" s="8"/>
      <c r="F309" s="48"/>
      <c r="G309" s="48"/>
      <c r="H309" s="48"/>
      <c r="I309" s="48"/>
      <c r="J309" s="7"/>
      <c r="K309" s="3"/>
      <c r="L309" s="3"/>
      <c r="M309" s="3"/>
      <c r="N309" s="8"/>
      <c r="O309" s="50"/>
      <c r="P309" s="50"/>
      <c r="Q309" s="50"/>
      <c r="R309" s="50"/>
      <c r="S309" s="39"/>
      <c r="T309" s="39"/>
      <c r="U309" s="39"/>
      <c r="V309" s="39"/>
      <c r="W309" s="37" cm="1">
        <f t="array" ref="W309">CheckYellowFill(Table248[[#This Row],[MD
(m)]])</f>
        <v>0</v>
      </c>
      <c r="X309" s="39" cm="1">
        <f t="array" ref="X309">isfontcolorred(Table248[[#This Row],[MD
(m)]])</f>
        <v>1</v>
      </c>
      <c r="Y309" s="37">
        <f>IF(Table248[[#This Row],[Plug Depth
Plan
(m)]]&lt;&gt;0,1,0)</f>
        <v>0</v>
      </c>
      <c r="Z309" s="39"/>
      <c r="AA309" s="40" t="str">
        <f>IF(Table248[[#This Row],[Plug Depth
Plan
(m)]]=0,"",ABS(Table248[[#This Row],[Plug Depth
Plan
(m)]]-Table248[[#This Row],[MD
(m)]]))</f>
        <v/>
      </c>
      <c r="AB309" s="28">
        <v>10620</v>
      </c>
    </row>
    <row r="310" spans="1:28" ht="16" thickBot="1" x14ac:dyDescent="0.25">
      <c r="A310" s="51">
        <v>4912.3999999999996</v>
      </c>
      <c r="B310" s="20">
        <v>2787.2823413950227</v>
      </c>
      <c r="C310" s="3"/>
      <c r="D310" s="3"/>
      <c r="E310" s="8"/>
      <c r="F310" s="48"/>
      <c r="G310" s="48"/>
      <c r="H310" s="48"/>
      <c r="I310" s="48"/>
      <c r="J310" s="7"/>
      <c r="K310" s="3"/>
      <c r="L310" s="3"/>
      <c r="M310" s="3"/>
      <c r="N310" s="8"/>
      <c r="O310" s="50"/>
      <c r="P310" s="50"/>
      <c r="Q310" s="50"/>
      <c r="R310" s="50"/>
      <c r="S310" s="39"/>
      <c r="T310" s="39"/>
      <c r="U310" s="39"/>
      <c r="V310" s="39"/>
      <c r="W310" s="37" cm="1">
        <f t="array" ref="W310">CheckYellowFill(Table248[[#This Row],[MD
(m)]])</f>
        <v>0</v>
      </c>
      <c r="X310" s="39" cm="1">
        <f t="array" ref="X310">isfontcolorred(Table248[[#This Row],[MD
(m)]])</f>
        <v>1</v>
      </c>
      <c r="Y310" s="37">
        <f>IF(Table248[[#This Row],[Plug Depth
Plan
(m)]]&lt;&gt;0,1,0)</f>
        <v>0</v>
      </c>
      <c r="Z310" s="39"/>
      <c r="AA310" s="40" t="str">
        <f>IF(Table248[[#This Row],[Plug Depth
Plan
(m)]]=0,"",ABS(Table248[[#This Row],[Plug Depth
Plan
(m)]]-Table248[[#This Row],[MD
(m)]]))</f>
        <v/>
      </c>
      <c r="AB310" s="28">
        <v>9687</v>
      </c>
    </row>
    <row r="311" spans="1:28" ht="16" thickBot="1" x14ac:dyDescent="0.25">
      <c r="A311" s="22">
        <v>4913.55</v>
      </c>
      <c r="B311" s="9">
        <v>2787.29</v>
      </c>
      <c r="C311" s="3">
        <v>90.15</v>
      </c>
      <c r="D311" s="3">
        <v>0.68</v>
      </c>
      <c r="E311" s="8">
        <v>1.65</v>
      </c>
      <c r="F311" s="69">
        <v>2250.7399999999998</v>
      </c>
      <c r="G311" s="69">
        <v>202.27</v>
      </c>
      <c r="H311" s="69">
        <v>1.0900000000000001</v>
      </c>
      <c r="I311" s="69">
        <v>1.24</v>
      </c>
      <c r="J311" s="7">
        <v>4865.01</v>
      </c>
      <c r="K311" s="3">
        <v>2785.46</v>
      </c>
      <c r="L311" s="3">
        <v>89.777000000000001</v>
      </c>
      <c r="M311" s="3">
        <v>0.05</v>
      </c>
      <c r="N311" s="8">
        <v>0</v>
      </c>
      <c r="O311" s="50">
        <v>2192.6799999999998</v>
      </c>
      <c r="P311" s="50">
        <v>189.74</v>
      </c>
      <c r="Q311" s="50">
        <v>0</v>
      </c>
      <c r="R311" s="50">
        <v>0</v>
      </c>
      <c r="S311" s="39">
        <v>2792.07</v>
      </c>
      <c r="T311" s="39">
        <f>ABS(Table248[[#This Row],[mTVD
Lower
Marker]]-Table248[[#This Row],[TVD
(m)]])</f>
        <v>4.7800000000002001</v>
      </c>
      <c r="U311" s="39">
        <v>2782.07</v>
      </c>
      <c r="V311" s="39">
        <f>ABS(Table248[[#This Row],[mTVD
Upper
Marker]]-Table248[[#This Row],[TVD
(m)]])</f>
        <v>5.2199999999997999</v>
      </c>
      <c r="W311" s="37" cm="1">
        <f t="array" ref="W311">CheckYellowFill(Table248[[#This Row],[MD
(m)]])</f>
        <v>0</v>
      </c>
      <c r="X311" s="39" cm="1">
        <f t="array" ref="X311">isfontcolorred(Table248[[#This Row],[MD
(m)]])</f>
        <v>0</v>
      </c>
      <c r="Y311" s="37">
        <f>IF(Table248[[#This Row],[Plug Depth
Plan
(m)]]&lt;&gt;0,1,0)</f>
        <v>0</v>
      </c>
      <c r="Z311" s="39"/>
      <c r="AA311" s="40" t="str">
        <f>IF(Table248[[#This Row],[Plug Depth
Plan
(m)]]=0,"",ABS(Table248[[#This Row],[Plug Depth
Plan
(m)]]-Table248[[#This Row],[MD
(m)]]))</f>
        <v/>
      </c>
    </row>
    <row r="312" spans="1:28" ht="16" thickBot="1" x14ac:dyDescent="0.25">
      <c r="A312" s="54">
        <v>4924.8999999999996</v>
      </c>
      <c r="B312" s="20">
        <v>2787.192457889309</v>
      </c>
      <c r="C312" s="3"/>
      <c r="D312" s="3"/>
      <c r="E312" s="8"/>
      <c r="F312" s="48"/>
      <c r="G312" s="48"/>
      <c r="H312" s="48"/>
      <c r="I312" s="48"/>
      <c r="J312" s="7"/>
      <c r="K312" s="3"/>
      <c r="L312" s="3"/>
      <c r="M312" s="3"/>
      <c r="N312" s="8"/>
      <c r="O312" s="50"/>
      <c r="P312" s="50"/>
      <c r="Q312" s="50"/>
      <c r="R312" s="50"/>
      <c r="S312" s="39"/>
      <c r="T312" s="39"/>
      <c r="U312" s="39"/>
      <c r="V312" s="39"/>
      <c r="W312" s="37" cm="1">
        <f t="array" ref="W312">CheckYellowFill(Table248[[#This Row],[MD
(m)]])</f>
        <v>0</v>
      </c>
      <c r="X312" s="39" cm="1">
        <f t="array" ref="X312">isfontcolorred(Table248[[#This Row],[MD
(m)]])</f>
        <v>1</v>
      </c>
      <c r="Y312" s="37">
        <f>IF(Table248[[#This Row],[Plug Depth
Plan
(m)]]&lt;&gt;0,1,0)</f>
        <v>0</v>
      </c>
      <c r="Z312" s="39"/>
      <c r="AA312" s="40" t="str">
        <f>IF(Table248[[#This Row],[Plug Depth
Plan
(m)]]=0,"",ABS(Table248[[#This Row],[Plug Depth
Plan
(m)]]-Table248[[#This Row],[MD
(m)]]))</f>
        <v/>
      </c>
      <c r="AB312" s="28">
        <v>9687</v>
      </c>
    </row>
    <row r="313" spans="1:28" ht="16" thickBot="1" x14ac:dyDescent="0.25">
      <c r="A313" s="54">
        <v>4937.3999999999996</v>
      </c>
      <c r="B313" s="21">
        <v>2787.0850326572704</v>
      </c>
      <c r="C313" s="3"/>
      <c r="D313" s="3"/>
      <c r="E313" s="8"/>
      <c r="F313" s="48"/>
      <c r="G313" s="48"/>
      <c r="H313" s="48"/>
      <c r="I313" s="48"/>
      <c r="J313" s="7"/>
      <c r="K313" s="3"/>
      <c r="L313" s="3"/>
      <c r="M313" s="3"/>
      <c r="N313" s="8"/>
      <c r="O313" s="50"/>
      <c r="P313" s="50"/>
      <c r="Q313" s="50"/>
      <c r="R313" s="50"/>
      <c r="S313" s="39"/>
      <c r="T313" s="39"/>
      <c r="U313" s="39"/>
      <c r="V313" s="39"/>
      <c r="W313" s="37" cm="1">
        <f t="array" ref="W313">CheckYellowFill(Table248[[#This Row],[MD
(m)]])</f>
        <v>0</v>
      </c>
      <c r="X313" s="39" cm="1">
        <f t="array" ref="X313">isfontcolorred(Table248[[#This Row],[MD
(m)]])</f>
        <v>1</v>
      </c>
      <c r="Y313" s="37">
        <f>IF(Table248[[#This Row],[Plug Depth
Plan
(m)]]&lt;&gt;0,1,0)</f>
        <v>0</v>
      </c>
      <c r="Z313" s="39"/>
      <c r="AA313" s="40" t="str">
        <f>IF(Table248[[#This Row],[Plug Depth
Plan
(m)]]=0,"",ABS(Table248[[#This Row],[Plug Depth
Plan
(m)]]-Table248[[#This Row],[MD
(m)]]))</f>
        <v/>
      </c>
      <c r="AB313" s="28">
        <v>9687</v>
      </c>
    </row>
    <row r="314" spans="1:28" ht="16" thickBot="1" x14ac:dyDescent="0.25">
      <c r="A314" s="22">
        <v>4942.6400000000003</v>
      </c>
      <c r="B314" s="9">
        <v>2787.04</v>
      </c>
      <c r="C314" s="3">
        <v>90.8</v>
      </c>
      <c r="D314" s="3">
        <v>1.03</v>
      </c>
      <c r="E314" s="8">
        <v>0.76</v>
      </c>
      <c r="F314" s="69">
        <v>2279.83</v>
      </c>
      <c r="G314" s="69">
        <v>202.71</v>
      </c>
      <c r="H314" s="69">
        <v>0.67</v>
      </c>
      <c r="I314" s="69">
        <v>0.36</v>
      </c>
      <c r="J314" s="7">
        <v>4895.01</v>
      </c>
      <c r="K314" s="3">
        <v>2785.58</v>
      </c>
      <c r="L314" s="3">
        <v>89.777000000000001</v>
      </c>
      <c r="M314" s="3">
        <v>0.05</v>
      </c>
      <c r="N314" s="8">
        <v>0</v>
      </c>
      <c r="O314" s="50">
        <v>2222.6799999999998</v>
      </c>
      <c r="P314" s="50">
        <v>189.77</v>
      </c>
      <c r="Q314" s="50">
        <v>0</v>
      </c>
      <c r="R314" s="50">
        <v>0</v>
      </c>
      <c r="S314" s="39">
        <v>2791.99</v>
      </c>
      <c r="T314" s="39">
        <f>ABS(Table248[[#This Row],[mTVD
Lower
Marker]]-Table248[[#This Row],[TVD
(m)]])</f>
        <v>4.9499999999998181</v>
      </c>
      <c r="U314" s="39">
        <v>2781.99</v>
      </c>
      <c r="V314" s="39">
        <f>ABS(Table248[[#This Row],[mTVD
Upper
Marker]]-Table248[[#This Row],[TVD
(m)]])</f>
        <v>5.0500000000001819</v>
      </c>
      <c r="W314" s="37" cm="1">
        <f t="array" ref="W314">CheckYellowFill(Table248[[#This Row],[MD
(m)]])</f>
        <v>0</v>
      </c>
      <c r="X314" s="39" cm="1">
        <f t="array" ref="X314">isfontcolorred(Table248[[#This Row],[MD
(m)]])</f>
        <v>0</v>
      </c>
      <c r="Y314" s="37">
        <f>IF(Table248[[#This Row],[Plug Depth
Plan
(m)]]&lt;&gt;0,1,0)</f>
        <v>0</v>
      </c>
      <c r="Z314" s="39"/>
      <c r="AA314" s="40" t="str">
        <f>IF(Table248[[#This Row],[Plug Depth
Plan
(m)]]=0,"",ABS(Table248[[#This Row],[Plug Depth
Plan
(m)]]-Table248[[#This Row],[MD
(m)]]))</f>
        <v/>
      </c>
    </row>
    <row r="315" spans="1:28" ht="16" thickBot="1" x14ac:dyDescent="0.25">
      <c r="A315" s="54">
        <v>4949.8999999999996</v>
      </c>
      <c r="B315" s="20">
        <v>2786.9660484720757</v>
      </c>
      <c r="C315" s="3"/>
      <c r="D315" s="3"/>
      <c r="E315" s="8"/>
      <c r="F315" s="48"/>
      <c r="G315" s="48"/>
      <c r="H315" s="48"/>
      <c r="I315" s="48"/>
      <c r="J315" s="7"/>
      <c r="K315" s="3"/>
      <c r="L315" s="3"/>
      <c r="M315" s="3"/>
      <c r="N315" s="8"/>
      <c r="O315" s="50"/>
      <c r="P315" s="50"/>
      <c r="Q315" s="50"/>
      <c r="R315" s="50"/>
      <c r="S315" s="39"/>
      <c r="T315" s="39"/>
      <c r="U315" s="39"/>
      <c r="V315" s="39"/>
      <c r="W315" s="37" cm="1">
        <f t="array" ref="W315">CheckYellowFill(Table248[[#This Row],[MD
(m)]])</f>
        <v>0</v>
      </c>
      <c r="X315" s="39" cm="1">
        <f t="array" ref="X315">isfontcolorred(Table248[[#This Row],[MD
(m)]])</f>
        <v>1</v>
      </c>
      <c r="Y315" s="37">
        <f>IF(Table248[[#This Row],[Plug Depth
Plan
(m)]]&lt;&gt;0,1,0)</f>
        <v>0</v>
      </c>
      <c r="Z315" s="39"/>
      <c r="AA315" s="40" t="str">
        <f>IF(Table248[[#This Row],[Plug Depth
Plan
(m)]]=0,"",ABS(Table248[[#This Row],[Plug Depth
Plan
(m)]]-Table248[[#This Row],[MD
(m)]]))</f>
        <v/>
      </c>
    </row>
    <row r="316" spans="1:28" ht="16" thickBot="1" x14ac:dyDescent="0.25">
      <c r="A316" s="57">
        <v>4954.8999999999996</v>
      </c>
      <c r="B316" s="58">
        <v>2786.9151176677201</v>
      </c>
      <c r="C316" s="3"/>
      <c r="D316" s="3"/>
      <c r="E316" s="8"/>
      <c r="F316" s="48"/>
      <c r="G316" s="48"/>
      <c r="H316" s="48"/>
      <c r="I316" s="48"/>
      <c r="J316" s="7"/>
      <c r="K316" s="3"/>
      <c r="L316" s="3"/>
      <c r="M316" s="3"/>
      <c r="N316" s="8"/>
      <c r="O316" s="50"/>
      <c r="P316" s="50"/>
      <c r="Q316" s="50"/>
      <c r="R316" s="50"/>
      <c r="S316" s="39"/>
      <c r="T316" s="39"/>
      <c r="U316" s="39"/>
      <c r="V316" s="39"/>
      <c r="W316" s="37" cm="1">
        <f t="array" ref="W316">CheckYellowFill(Table248[[#This Row],[MD
(m)]])</f>
        <v>1</v>
      </c>
      <c r="X316" s="39" cm="1">
        <f t="array" ref="X316">isfontcolorred(Table248[[#This Row],[MD
(m)]])</f>
        <v>0</v>
      </c>
      <c r="Y316" s="37">
        <f>IF(Table248[[#This Row],[Plug Depth
Plan
(m)]]&lt;&gt;0,1,0)</f>
        <v>0</v>
      </c>
      <c r="Z316" s="39"/>
      <c r="AA316" s="40" t="str">
        <f>IF(Table248[[#This Row],[Plug Depth
Plan
(m)]]=0,"",ABS(Table248[[#This Row],[Plug Depth
Plan
(m)]]-Table248[[#This Row],[MD
(m)]]))</f>
        <v/>
      </c>
    </row>
    <row r="317" spans="1:28" ht="16" thickBot="1" x14ac:dyDescent="0.25">
      <c r="A317" s="52">
        <v>4962.3999999999996</v>
      </c>
      <c r="B317" s="20">
        <v>2786.8387214611871</v>
      </c>
      <c r="C317" s="3"/>
      <c r="D317" s="3"/>
      <c r="E317" s="8"/>
      <c r="F317" s="48"/>
      <c r="G317" s="48"/>
      <c r="H317" s="48"/>
      <c r="I317" s="48"/>
      <c r="J317" s="7"/>
      <c r="K317" s="3"/>
      <c r="L317" s="3"/>
      <c r="M317" s="3"/>
      <c r="N317" s="8"/>
      <c r="O317" s="50"/>
      <c r="P317" s="50"/>
      <c r="Q317" s="50"/>
      <c r="R317" s="50"/>
      <c r="S317" s="39"/>
      <c r="T317" s="39"/>
      <c r="U317" s="39"/>
      <c r="V317" s="39"/>
      <c r="W317" s="37" cm="1">
        <f t="array" ref="W317">CheckYellowFill(Table248[[#This Row],[MD
(m)]])</f>
        <v>0</v>
      </c>
      <c r="X317" s="39" cm="1">
        <f t="array" ref="X317">isfontcolorred(Table248[[#This Row],[MD
(m)]])</f>
        <v>1</v>
      </c>
      <c r="Y317" s="37">
        <f>IF(Table248[[#This Row],[Plug Depth
Plan
(m)]]&lt;&gt;0,1,0)</f>
        <v>0</v>
      </c>
      <c r="Z317" s="39"/>
      <c r="AA317" s="40" t="str">
        <f>IF(Table248[[#This Row],[Plug Depth
Plan
(m)]]=0,"",ABS(Table248[[#This Row],[Plug Depth
Plan
(m)]]-Table248[[#This Row],[MD
(m)]]))</f>
        <v/>
      </c>
      <c r="AB317" s="28">
        <v>10654</v>
      </c>
    </row>
    <row r="318" spans="1:28" ht="16" thickBot="1" x14ac:dyDescent="0.25">
      <c r="A318" s="22">
        <v>4971.1099999999997</v>
      </c>
      <c r="B318" s="9">
        <v>2786.75</v>
      </c>
      <c r="C318" s="3">
        <v>90.4</v>
      </c>
      <c r="D318" s="3">
        <v>0.08</v>
      </c>
      <c r="E318" s="8">
        <v>1.0900000000000001</v>
      </c>
      <c r="F318" s="69">
        <v>2308.29</v>
      </c>
      <c r="G318" s="69">
        <v>202.98</v>
      </c>
      <c r="H318" s="69">
        <v>-0.42</v>
      </c>
      <c r="I318" s="69">
        <v>-1</v>
      </c>
      <c r="J318" s="7">
        <v>4925.01</v>
      </c>
      <c r="K318" s="3">
        <v>2785.7</v>
      </c>
      <c r="L318" s="3">
        <v>89.777000000000001</v>
      </c>
      <c r="M318" s="3">
        <v>0.05</v>
      </c>
      <c r="N318" s="8">
        <v>0</v>
      </c>
      <c r="O318" s="50">
        <v>2252.6799999999998</v>
      </c>
      <c r="P318" s="50">
        <v>189.79</v>
      </c>
      <c r="Q318" s="50">
        <v>0</v>
      </c>
      <c r="R318" s="50">
        <v>0</v>
      </c>
      <c r="S318" s="39">
        <v>2791.71</v>
      </c>
      <c r="T318" s="39">
        <f>ABS(Table248[[#This Row],[mTVD
Lower
Marker]]-Table248[[#This Row],[TVD
(m)]])</f>
        <v>4.9600000000000364</v>
      </c>
      <c r="U318" s="39">
        <v>2781.71</v>
      </c>
      <c r="V318" s="39">
        <f>ABS(Table248[[#This Row],[mTVD
Upper
Marker]]-Table248[[#This Row],[TVD
(m)]])</f>
        <v>5.0399999999999636</v>
      </c>
      <c r="W318" s="37" cm="1">
        <f t="array" ref="W318">CheckYellowFill(Table248[[#This Row],[MD
(m)]])</f>
        <v>0</v>
      </c>
      <c r="X318" s="39" cm="1">
        <f t="array" ref="X318">isfontcolorred(Table248[[#This Row],[MD
(m)]])</f>
        <v>0</v>
      </c>
      <c r="Y318" s="37">
        <f>IF(Table248[[#This Row],[Plug Depth
Plan
(m)]]&lt;&gt;0,1,0)</f>
        <v>0</v>
      </c>
      <c r="Z318" s="39"/>
      <c r="AA318" s="40" t="str">
        <f>IF(Table248[[#This Row],[Plug Depth
Plan
(m)]]=0,"",ABS(Table248[[#This Row],[Plug Depth
Plan
(m)]]-Table248[[#This Row],[MD
(m)]]))</f>
        <v/>
      </c>
    </row>
    <row r="319" spans="1:28" ht="16" thickBot="1" x14ac:dyDescent="0.25">
      <c r="A319" s="51">
        <v>4974.8999999999996</v>
      </c>
      <c r="B319" s="20">
        <v>2786.7061849710985</v>
      </c>
      <c r="C319" s="3"/>
      <c r="D319" s="3"/>
      <c r="E319" s="8"/>
      <c r="F319" s="48"/>
      <c r="G319" s="48"/>
      <c r="H319" s="48"/>
      <c r="I319" s="48"/>
      <c r="J319" s="7"/>
      <c r="K319" s="3"/>
      <c r="L319" s="3"/>
      <c r="M319" s="3"/>
      <c r="N319" s="8"/>
      <c r="O319" s="50"/>
      <c r="P319" s="50"/>
      <c r="Q319" s="50"/>
      <c r="R319" s="50"/>
      <c r="S319" s="39"/>
      <c r="T319" s="39"/>
      <c r="U319" s="39"/>
      <c r="V319" s="39"/>
      <c r="W319" s="37" cm="1">
        <f t="array" ref="W319">CheckYellowFill(Table248[[#This Row],[MD
(m)]])</f>
        <v>0</v>
      </c>
      <c r="X319" s="39" cm="1">
        <f t="array" ref="X319">isfontcolorred(Table248[[#This Row],[MD
(m)]])</f>
        <v>1</v>
      </c>
      <c r="Y319" s="37">
        <f>IF(Table248[[#This Row],[Plug Depth
Plan
(m)]]&lt;&gt;0,1,0)</f>
        <v>0</v>
      </c>
      <c r="Z319" s="39"/>
      <c r="AA319" s="40" t="str">
        <f>IF(Table248[[#This Row],[Plug Depth
Plan
(m)]]=0,"",ABS(Table248[[#This Row],[Plug Depth
Plan
(m)]]-Table248[[#This Row],[MD
(m)]]))</f>
        <v/>
      </c>
      <c r="AB319" s="28">
        <v>10645</v>
      </c>
    </row>
    <row r="320" spans="1:28" ht="16" thickBot="1" x14ac:dyDescent="0.25">
      <c r="A320" s="51">
        <v>4987.3999999999996</v>
      </c>
      <c r="B320" s="20">
        <v>2786.5616763005783</v>
      </c>
      <c r="C320" s="3"/>
      <c r="D320" s="3"/>
      <c r="E320" s="8"/>
      <c r="F320" s="48"/>
      <c r="G320" s="48"/>
      <c r="H320" s="48"/>
      <c r="I320" s="48"/>
      <c r="J320" s="7"/>
      <c r="K320" s="3"/>
      <c r="L320" s="3"/>
      <c r="M320" s="3"/>
      <c r="N320" s="8"/>
      <c r="O320" s="50"/>
      <c r="P320" s="50"/>
      <c r="Q320" s="50"/>
      <c r="R320" s="50"/>
      <c r="S320" s="39"/>
      <c r="T320" s="39"/>
      <c r="U320" s="39"/>
      <c r="V320" s="39"/>
      <c r="W320" s="37" cm="1">
        <f t="array" ref="W320">CheckYellowFill(Table248[[#This Row],[MD
(m)]])</f>
        <v>0</v>
      </c>
      <c r="X320" s="39" cm="1">
        <f t="array" ref="X320">isfontcolorred(Table248[[#This Row],[MD
(m)]])</f>
        <v>1</v>
      </c>
      <c r="Y320" s="37">
        <f>IF(Table248[[#This Row],[Plug Depth
Plan
(m)]]&lt;&gt;0,1,0)</f>
        <v>0</v>
      </c>
      <c r="Z320" s="39"/>
      <c r="AA320" s="40" t="str">
        <f>IF(Table248[[#This Row],[Plug Depth
Plan
(m)]]=0,"",ABS(Table248[[#This Row],[Plug Depth
Plan
(m)]]-Table248[[#This Row],[MD
(m)]]))</f>
        <v/>
      </c>
      <c r="AB320" s="28">
        <v>10645</v>
      </c>
    </row>
    <row r="321" spans="1:28" ht="16" thickBot="1" x14ac:dyDescent="0.25">
      <c r="A321" s="51">
        <v>4999.8999999999996</v>
      </c>
      <c r="B321" s="20">
        <v>2786.417167630058</v>
      </c>
      <c r="C321" s="3"/>
      <c r="D321" s="3"/>
      <c r="E321" s="8"/>
      <c r="F321" s="48"/>
      <c r="G321" s="48"/>
      <c r="H321" s="48"/>
      <c r="I321" s="48"/>
      <c r="J321" s="7"/>
      <c r="K321" s="3"/>
      <c r="L321" s="3"/>
      <c r="M321" s="3"/>
      <c r="N321" s="8"/>
      <c r="O321" s="50"/>
      <c r="P321" s="50"/>
      <c r="Q321" s="50"/>
      <c r="R321" s="50"/>
      <c r="S321" s="39"/>
      <c r="T321" s="39"/>
      <c r="U321" s="39"/>
      <c r="V321" s="39"/>
      <c r="W321" s="37" cm="1">
        <f t="array" ref="W321">CheckYellowFill(Table248[[#This Row],[MD
(m)]])</f>
        <v>0</v>
      </c>
      <c r="X321" s="39" cm="1">
        <f t="array" ref="X321">isfontcolorred(Table248[[#This Row],[MD
(m)]])</f>
        <v>1</v>
      </c>
      <c r="Y321" s="37">
        <f>IF(Table248[[#This Row],[Plug Depth
Plan
(m)]]&lt;&gt;0,1,0)</f>
        <v>0</v>
      </c>
      <c r="Z321" s="39"/>
      <c r="AA321" s="40" t="str">
        <f>IF(Table248[[#This Row],[Plug Depth
Plan
(m)]]=0,"",ABS(Table248[[#This Row],[Plug Depth
Plan
(m)]]-Table248[[#This Row],[MD
(m)]]))</f>
        <v/>
      </c>
      <c r="AB321" s="28">
        <v>10654</v>
      </c>
    </row>
    <row r="322" spans="1:28" ht="16" thickBot="1" x14ac:dyDescent="0.25">
      <c r="A322" s="22">
        <v>5000.5200000000004</v>
      </c>
      <c r="B322" s="9">
        <v>2786.41</v>
      </c>
      <c r="C322" s="3">
        <v>90.92</v>
      </c>
      <c r="D322" s="3">
        <v>5.53</v>
      </c>
      <c r="E322" s="8">
        <v>5.58</v>
      </c>
      <c r="F322" s="69">
        <v>2337.65</v>
      </c>
      <c r="G322" s="69">
        <v>204.42</v>
      </c>
      <c r="H322" s="69">
        <v>0.53</v>
      </c>
      <c r="I322" s="69">
        <v>5.56</v>
      </c>
      <c r="J322" s="7">
        <v>4955.01</v>
      </c>
      <c r="K322" s="3">
        <v>2785.81</v>
      </c>
      <c r="L322" s="3">
        <v>89.777000000000001</v>
      </c>
      <c r="M322" s="3">
        <v>0.05</v>
      </c>
      <c r="N322" s="8">
        <v>0</v>
      </c>
      <c r="O322" s="50">
        <v>2282.6799999999998</v>
      </c>
      <c r="P322" s="50">
        <v>189.82</v>
      </c>
      <c r="Q322" s="50">
        <v>0</v>
      </c>
      <c r="R322" s="50">
        <v>0</v>
      </c>
      <c r="S322" s="39">
        <v>2791.42</v>
      </c>
      <c r="T322" s="39">
        <f>ABS(Table248[[#This Row],[mTVD
Lower
Marker]]-Table248[[#This Row],[TVD
(m)]])</f>
        <v>5.0100000000002183</v>
      </c>
      <c r="U322" s="39">
        <v>2781.42</v>
      </c>
      <c r="V322" s="39">
        <f>ABS(Table248[[#This Row],[mTVD
Upper
Marker]]-Table248[[#This Row],[TVD
(m)]])</f>
        <v>4.9899999999997817</v>
      </c>
      <c r="W322" s="37" cm="1">
        <f t="array" ref="W322">CheckYellowFill(Table248[[#This Row],[MD
(m)]])</f>
        <v>0</v>
      </c>
      <c r="X322" s="39" cm="1">
        <f t="array" ref="X322">isfontcolorred(Table248[[#This Row],[MD
(m)]])</f>
        <v>0</v>
      </c>
      <c r="Y322" s="37">
        <f>IF(Table248[[#This Row],[Plug Depth
Plan
(m)]]&lt;&gt;0,1,0)</f>
        <v>0</v>
      </c>
      <c r="Z322" s="39"/>
      <c r="AA322" s="40" t="str">
        <f>IF(Table248[[#This Row],[Plug Depth
Plan
(m)]]=0,"",ABS(Table248[[#This Row],[Plug Depth
Plan
(m)]]-Table248[[#This Row],[MD
(m)]]))</f>
        <v/>
      </c>
    </row>
    <row r="323" spans="1:28" ht="16" thickBot="1" x14ac:dyDescent="0.25">
      <c r="A323" s="54">
        <v>5012.3999999999996</v>
      </c>
      <c r="B323" s="20">
        <v>2786.3690344827583</v>
      </c>
      <c r="C323" s="3"/>
      <c r="D323" s="3"/>
      <c r="E323" s="8"/>
      <c r="F323" s="48"/>
      <c r="G323" s="48"/>
      <c r="H323" s="48"/>
      <c r="I323" s="48"/>
      <c r="J323" s="7"/>
      <c r="K323" s="3"/>
      <c r="L323" s="3"/>
      <c r="M323" s="3"/>
      <c r="N323" s="8"/>
      <c r="O323" s="50"/>
      <c r="P323" s="50"/>
      <c r="Q323" s="50"/>
      <c r="R323" s="50"/>
      <c r="S323" s="39"/>
      <c r="T323" s="39"/>
      <c r="U323" s="39"/>
      <c r="V323" s="39"/>
      <c r="W323" s="37" cm="1">
        <f t="array" ref="W323">CheckYellowFill(Table248[[#This Row],[MD
(m)]])</f>
        <v>0</v>
      </c>
      <c r="X323" s="39" cm="1">
        <f t="array" ref="X323">isfontcolorred(Table248[[#This Row],[MD
(m)]])</f>
        <v>1</v>
      </c>
      <c r="Y323" s="37">
        <f>IF(Table248[[#This Row],[Plug Depth
Plan
(m)]]&lt;&gt;0,1,0)</f>
        <v>0</v>
      </c>
      <c r="Z323" s="39"/>
      <c r="AA323" s="40" t="str">
        <f>IF(Table248[[#This Row],[Plug Depth
Plan
(m)]]=0,"",ABS(Table248[[#This Row],[Plug Depth
Plan
(m)]]-Table248[[#This Row],[MD
(m)]]))</f>
        <v/>
      </c>
      <c r="AB323" s="28">
        <v>9600</v>
      </c>
    </row>
    <row r="324" spans="1:28" ht="16" thickBot="1" x14ac:dyDescent="0.25">
      <c r="A324" s="54">
        <v>5024.8999999999996</v>
      </c>
      <c r="B324" s="21">
        <v>2786.3259310344824</v>
      </c>
      <c r="C324" s="3"/>
      <c r="D324" s="3"/>
      <c r="E324" s="8"/>
      <c r="F324" s="48"/>
      <c r="G324" s="48"/>
      <c r="H324" s="48"/>
      <c r="I324" s="48"/>
      <c r="J324" s="7"/>
      <c r="K324" s="3"/>
      <c r="L324" s="3"/>
      <c r="M324" s="3"/>
      <c r="N324" s="8"/>
      <c r="O324" s="50"/>
      <c r="P324" s="50"/>
      <c r="Q324" s="50"/>
      <c r="R324" s="50"/>
      <c r="S324" s="39"/>
      <c r="T324" s="39"/>
      <c r="U324" s="39"/>
      <c r="V324" s="39"/>
      <c r="W324" s="37" cm="1">
        <f t="array" ref="W324">CheckYellowFill(Table248[[#This Row],[MD
(m)]])</f>
        <v>0</v>
      </c>
      <c r="X324" s="39" cm="1">
        <f t="array" ref="X324">isfontcolorred(Table248[[#This Row],[MD
(m)]])</f>
        <v>1</v>
      </c>
      <c r="Y324" s="37">
        <f>IF(Table248[[#This Row],[Plug Depth
Plan
(m)]]&lt;&gt;0,1,0)</f>
        <v>0</v>
      </c>
      <c r="Z324" s="39"/>
      <c r="AA324" s="40" t="str">
        <f>IF(Table248[[#This Row],[Plug Depth
Plan
(m)]]=0,"",ABS(Table248[[#This Row],[Plug Depth
Plan
(m)]]-Table248[[#This Row],[MD
(m)]]))</f>
        <v/>
      </c>
      <c r="AB324" s="28">
        <v>9600</v>
      </c>
    </row>
    <row r="325" spans="1:28" ht="16" thickBot="1" x14ac:dyDescent="0.25">
      <c r="A325" s="22">
        <v>5029.5200000000004</v>
      </c>
      <c r="B325" s="9">
        <v>2786.31</v>
      </c>
      <c r="C325" s="3">
        <v>89.45</v>
      </c>
      <c r="D325" s="3">
        <v>7.06</v>
      </c>
      <c r="E325" s="8">
        <v>2.19</v>
      </c>
      <c r="F325" s="69">
        <v>2366.48</v>
      </c>
      <c r="G325" s="69">
        <v>207.6</v>
      </c>
      <c r="H325" s="69">
        <v>-1.52</v>
      </c>
      <c r="I325" s="69">
        <v>1.58</v>
      </c>
      <c r="J325" s="7">
        <v>4985.01</v>
      </c>
      <c r="K325" s="3">
        <v>2785.93</v>
      </c>
      <c r="L325" s="3">
        <v>89.777000000000001</v>
      </c>
      <c r="M325" s="3">
        <v>0.05</v>
      </c>
      <c r="N325" s="8">
        <v>0</v>
      </c>
      <c r="O325" s="50">
        <v>2312.6799999999998</v>
      </c>
      <c r="P325" s="50">
        <v>189.85</v>
      </c>
      <c r="Q325" s="50">
        <v>0</v>
      </c>
      <c r="R325" s="50">
        <v>0</v>
      </c>
      <c r="S325" s="39">
        <v>2791.14</v>
      </c>
      <c r="T325" s="39">
        <f>ABS(Table248[[#This Row],[mTVD
Lower
Marker]]-Table248[[#This Row],[TVD
(m)]])</f>
        <v>4.8299999999999272</v>
      </c>
      <c r="U325" s="39">
        <v>2781.14</v>
      </c>
      <c r="V325" s="39">
        <f>ABS(Table248[[#This Row],[mTVD
Upper
Marker]]-Table248[[#This Row],[TVD
(m)]])</f>
        <v>5.1700000000000728</v>
      </c>
      <c r="W325" s="37" cm="1">
        <f t="array" ref="W325">CheckYellowFill(Table248[[#This Row],[MD
(m)]])</f>
        <v>0</v>
      </c>
      <c r="X325" s="39" cm="1">
        <f t="array" ref="X325">isfontcolorred(Table248[[#This Row],[MD
(m)]])</f>
        <v>0</v>
      </c>
      <c r="Y325" s="37">
        <f>IF(Table248[[#This Row],[Plug Depth
Plan
(m)]]&lt;&gt;0,1,0)</f>
        <v>0</v>
      </c>
      <c r="Z325" s="39"/>
      <c r="AA325" s="40" t="str">
        <f>IF(Table248[[#This Row],[Plug Depth
Plan
(m)]]=0,"",ABS(Table248[[#This Row],[Plug Depth
Plan
(m)]]-Table248[[#This Row],[MD
(m)]]))</f>
        <v/>
      </c>
    </row>
    <row r="326" spans="1:28" ht="16" thickBot="1" x14ac:dyDescent="0.25">
      <c r="A326" s="51">
        <v>5037.3999999999996</v>
      </c>
      <c r="B326" s="20">
        <v>2786.3940383931745</v>
      </c>
      <c r="C326" s="3"/>
      <c r="D326" s="3"/>
      <c r="E326" s="8"/>
      <c r="F326" s="48"/>
      <c r="G326" s="48"/>
      <c r="H326" s="48"/>
      <c r="I326" s="48"/>
      <c r="J326" s="7"/>
      <c r="K326" s="3"/>
      <c r="L326" s="3"/>
      <c r="M326" s="3"/>
      <c r="N326" s="8"/>
      <c r="O326" s="50"/>
      <c r="P326" s="50"/>
      <c r="Q326" s="50"/>
      <c r="R326" s="50"/>
      <c r="S326" s="39"/>
      <c r="T326" s="39"/>
      <c r="U326" s="39"/>
      <c r="V326" s="39"/>
      <c r="W326" s="37" cm="1">
        <f t="array" ref="W326">CheckYellowFill(Table248[[#This Row],[MD
(m)]])</f>
        <v>0</v>
      </c>
      <c r="X326" s="39" cm="1">
        <f t="array" ref="X326">isfontcolorred(Table248[[#This Row],[MD
(m)]])</f>
        <v>1</v>
      </c>
      <c r="Y326" s="37">
        <f>IF(Table248[[#This Row],[Plug Depth
Plan
(m)]]&lt;&gt;0,1,0)</f>
        <v>0</v>
      </c>
      <c r="Z326" s="39"/>
      <c r="AA326" s="40" t="str">
        <f>IF(Table248[[#This Row],[Plug Depth
Plan
(m)]]=0,"",ABS(Table248[[#This Row],[Plug Depth
Plan
(m)]]-Table248[[#This Row],[MD
(m)]]))</f>
        <v/>
      </c>
      <c r="AB326" s="28">
        <v>9600</v>
      </c>
    </row>
    <row r="327" spans="1:28" ht="16" thickBot="1" x14ac:dyDescent="0.25">
      <c r="A327" s="53">
        <v>5049.8999999999996</v>
      </c>
      <c r="B327" s="20">
        <v>2786.5273480270175</v>
      </c>
      <c r="C327" s="3"/>
      <c r="D327" s="3"/>
      <c r="E327" s="8"/>
      <c r="F327" s="48"/>
      <c r="G327" s="48"/>
      <c r="H327" s="48"/>
      <c r="I327" s="48"/>
      <c r="J327" s="7"/>
      <c r="K327" s="3"/>
      <c r="L327" s="3"/>
      <c r="M327" s="3"/>
      <c r="N327" s="8"/>
      <c r="O327" s="50"/>
      <c r="P327" s="50"/>
      <c r="Q327" s="50"/>
      <c r="R327" s="50"/>
      <c r="S327" s="39"/>
      <c r="T327" s="39"/>
      <c r="U327" s="39"/>
      <c r="V327" s="39"/>
      <c r="W327" s="37" cm="1">
        <f t="array" ref="W327">CheckYellowFill(Table248[[#This Row],[MD
(m)]])</f>
        <v>0</v>
      </c>
      <c r="X327" s="39" cm="1">
        <f t="array" ref="X327">isfontcolorred(Table248[[#This Row],[MD
(m)]])</f>
        <v>1</v>
      </c>
      <c r="Y327" s="37">
        <f>IF(Table248[[#This Row],[Plug Depth
Plan
(m)]]&lt;&gt;0,1,0)</f>
        <v>0</v>
      </c>
      <c r="Z327" s="39"/>
      <c r="AA327" s="40" t="str">
        <f>IF(Table248[[#This Row],[Plug Depth
Plan
(m)]]=0,"",ABS(Table248[[#This Row],[Plug Depth
Plan
(m)]]-Table248[[#This Row],[MD
(m)]]))</f>
        <v/>
      </c>
      <c r="AB327" s="28">
        <v>9600</v>
      </c>
    </row>
    <row r="328" spans="1:28" ht="16" thickBot="1" x14ac:dyDescent="0.25">
      <c r="A328" s="59">
        <v>5054.8999999999996</v>
      </c>
      <c r="B328" s="58">
        <v>2786.5806718805547</v>
      </c>
      <c r="C328" s="3"/>
      <c r="D328" s="3"/>
      <c r="E328" s="8"/>
      <c r="F328" s="48"/>
      <c r="G328" s="48"/>
      <c r="H328" s="48"/>
      <c r="I328" s="48"/>
      <c r="J328" s="7"/>
      <c r="K328" s="3"/>
      <c r="L328" s="3"/>
      <c r="M328" s="3"/>
      <c r="N328" s="8"/>
      <c r="O328" s="50"/>
      <c r="P328" s="50"/>
      <c r="Q328" s="50"/>
      <c r="R328" s="50"/>
      <c r="S328" s="39"/>
      <c r="T328" s="39"/>
      <c r="U328" s="39"/>
      <c r="V328" s="39"/>
      <c r="W328" s="37" cm="1">
        <f t="array" ref="W328">CheckYellowFill(Table248[[#This Row],[MD
(m)]])</f>
        <v>1</v>
      </c>
      <c r="X328" s="39" cm="1">
        <f t="array" ref="X328">isfontcolorred(Table248[[#This Row],[MD
(m)]])</f>
        <v>0</v>
      </c>
      <c r="Y328" s="37">
        <f>IF(Table248[[#This Row],[Plug Depth
Plan
(m)]]&lt;&gt;0,1,0)</f>
        <v>0</v>
      </c>
      <c r="Z328" s="39"/>
      <c r="AA328" s="40" t="str">
        <f>IF(Table248[[#This Row],[Plug Depth
Plan
(m)]]=0,"",ABS(Table248[[#This Row],[Plug Depth
Plan
(m)]]-Table248[[#This Row],[MD
(m)]]))</f>
        <v/>
      </c>
    </row>
    <row r="329" spans="1:28" ht="16" thickBot="1" x14ac:dyDescent="0.25">
      <c r="A329" s="22">
        <v>5057.6499999999996</v>
      </c>
      <c r="B329" s="9">
        <v>2786.61</v>
      </c>
      <c r="C329" s="3">
        <v>89.35</v>
      </c>
      <c r="D329" s="3">
        <v>6.64</v>
      </c>
      <c r="E329" s="8">
        <v>0.46</v>
      </c>
      <c r="F329" s="69">
        <v>2394.4</v>
      </c>
      <c r="G329" s="69">
        <v>210.95</v>
      </c>
      <c r="H329" s="69">
        <v>-0.11</v>
      </c>
      <c r="I329" s="69">
        <v>-0.45</v>
      </c>
      <c r="J329" s="7">
        <v>5015.01</v>
      </c>
      <c r="K329" s="3">
        <v>2786.05</v>
      </c>
      <c r="L329" s="3">
        <v>89.777000000000001</v>
      </c>
      <c r="M329" s="3">
        <v>0.05</v>
      </c>
      <c r="N329" s="8">
        <v>0</v>
      </c>
      <c r="O329" s="50">
        <v>2342.6799999999998</v>
      </c>
      <c r="P329" s="50">
        <v>189.87</v>
      </c>
      <c r="Q329" s="50">
        <v>0</v>
      </c>
      <c r="R329" s="50">
        <v>0</v>
      </c>
      <c r="S329" s="39">
        <v>2791.06</v>
      </c>
      <c r="T329" s="39">
        <f>ABS(Table248[[#This Row],[mTVD
Lower
Marker]]-Table248[[#This Row],[TVD
(m)]])</f>
        <v>4.4499999999998181</v>
      </c>
      <c r="U329" s="39">
        <v>2781.06</v>
      </c>
      <c r="V329" s="39">
        <f>ABS(Table248[[#This Row],[mTVD
Upper
Marker]]-Table248[[#This Row],[TVD
(m)]])</f>
        <v>5.5500000000001819</v>
      </c>
      <c r="W329" s="37" cm="1">
        <f t="array" ref="W329">CheckYellowFill(Table248[[#This Row],[MD
(m)]])</f>
        <v>0</v>
      </c>
      <c r="X329" s="39" cm="1">
        <f t="array" ref="X329">isfontcolorred(Table248[[#This Row],[MD
(m)]])</f>
        <v>0</v>
      </c>
      <c r="Y329" s="37">
        <f>IF(Table248[[#This Row],[Plug Depth
Plan
(m)]]&lt;&gt;0,1,0)</f>
        <v>0</v>
      </c>
      <c r="Z329" s="39"/>
      <c r="AA329" s="40" t="str">
        <f>IF(Table248[[#This Row],[Plug Depth
Plan
(m)]]=0,"",ABS(Table248[[#This Row],[Plug Depth
Plan
(m)]]-Table248[[#This Row],[MD
(m)]]))</f>
        <v/>
      </c>
    </row>
    <row r="330" spans="1:28" ht="16" thickBot="1" x14ac:dyDescent="0.25">
      <c r="A330" s="54">
        <v>5062.3999999999996</v>
      </c>
      <c r="B330" s="20">
        <v>2786.625466714906</v>
      </c>
      <c r="C330" s="3"/>
      <c r="D330" s="3"/>
      <c r="E330" s="8"/>
      <c r="F330" s="48"/>
      <c r="G330" s="48"/>
      <c r="H330" s="48"/>
      <c r="I330" s="48"/>
      <c r="J330" s="7"/>
      <c r="K330" s="3"/>
      <c r="L330" s="3"/>
      <c r="M330" s="3"/>
      <c r="N330" s="8"/>
      <c r="O330" s="50"/>
      <c r="P330" s="50"/>
      <c r="Q330" s="50"/>
      <c r="R330" s="50"/>
      <c r="S330" s="39"/>
      <c r="T330" s="39"/>
      <c r="U330" s="39"/>
      <c r="V330" s="39"/>
      <c r="W330" s="37" cm="1">
        <f t="array" ref="W330">CheckYellowFill(Table248[[#This Row],[MD
(m)]])</f>
        <v>0</v>
      </c>
      <c r="X330" s="39" cm="1">
        <f t="array" ref="X330">isfontcolorred(Table248[[#This Row],[MD
(m)]])</f>
        <v>1</v>
      </c>
      <c r="Y330" s="37">
        <f>IF(Table248[[#This Row],[Plug Depth
Plan
(m)]]&lt;&gt;0,1,0)</f>
        <v>0</v>
      </c>
      <c r="Z330" s="39"/>
      <c r="AA330" s="40" t="str">
        <f>IF(Table248[[#This Row],[Plug Depth
Plan
(m)]]=0,"",ABS(Table248[[#This Row],[Plug Depth
Plan
(m)]]-Table248[[#This Row],[MD
(m)]]))</f>
        <v/>
      </c>
      <c r="AB330" s="28">
        <v>10743</v>
      </c>
    </row>
    <row r="331" spans="1:28" ht="16" thickBot="1" x14ac:dyDescent="0.25">
      <c r="A331" s="51">
        <v>5074.8999999999996</v>
      </c>
      <c r="B331" s="20">
        <v>2786.6661685962372</v>
      </c>
      <c r="C331" s="3"/>
      <c r="D331" s="3"/>
      <c r="E331" s="8"/>
      <c r="F331" s="48"/>
      <c r="G331" s="48"/>
      <c r="H331" s="48"/>
      <c r="I331" s="48"/>
      <c r="J331" s="7"/>
      <c r="K331" s="3"/>
      <c r="L331" s="3"/>
      <c r="M331" s="3"/>
      <c r="N331" s="8"/>
      <c r="O331" s="50"/>
      <c r="P331" s="50"/>
      <c r="Q331" s="50"/>
      <c r="R331" s="50"/>
      <c r="S331" s="39"/>
      <c r="T331" s="39"/>
      <c r="U331" s="39"/>
      <c r="V331" s="39"/>
      <c r="W331" s="37" cm="1">
        <f t="array" ref="W331">CheckYellowFill(Table248[[#This Row],[MD
(m)]])</f>
        <v>0</v>
      </c>
      <c r="X331" s="39" cm="1">
        <f t="array" ref="X331">isfontcolorred(Table248[[#This Row],[MD
(m)]])</f>
        <v>1</v>
      </c>
      <c r="Y331" s="37">
        <f>IF(Table248[[#This Row],[Plug Depth
Plan
(m)]]&lt;&gt;0,1,0)</f>
        <v>0</v>
      </c>
      <c r="Z331" s="39"/>
      <c r="AA331" s="40" t="str">
        <f>IF(Table248[[#This Row],[Plug Depth
Plan
(m)]]=0,"",ABS(Table248[[#This Row],[Plug Depth
Plan
(m)]]-Table248[[#This Row],[MD
(m)]]))</f>
        <v/>
      </c>
      <c r="AB331" s="28">
        <v>10743</v>
      </c>
    </row>
    <row r="332" spans="1:28" ht="16" thickBot="1" x14ac:dyDescent="0.25">
      <c r="A332" s="22">
        <v>5085.29</v>
      </c>
      <c r="B332" s="9">
        <v>2786.7</v>
      </c>
      <c r="C332" s="3">
        <v>90.28</v>
      </c>
      <c r="D332" s="3">
        <v>2.7</v>
      </c>
      <c r="E332" s="8">
        <v>4.3899999999999997</v>
      </c>
      <c r="F332" s="69">
        <v>2421.9499999999998</v>
      </c>
      <c r="G332" s="69">
        <v>213.2</v>
      </c>
      <c r="H332" s="69">
        <v>1.01</v>
      </c>
      <c r="I332" s="69">
        <v>-4.28</v>
      </c>
      <c r="J332" s="7">
        <v>5045.01</v>
      </c>
      <c r="K332" s="3">
        <v>2786.16</v>
      </c>
      <c r="L332" s="3">
        <v>89.777000000000001</v>
      </c>
      <c r="M332" s="3">
        <v>0.05</v>
      </c>
      <c r="N332" s="8">
        <v>0</v>
      </c>
      <c r="O332" s="50">
        <v>2372.6799999999998</v>
      </c>
      <c r="P332" s="50">
        <v>189.9</v>
      </c>
      <c r="Q332" s="50">
        <v>0</v>
      </c>
      <c r="R332" s="50">
        <v>0</v>
      </c>
      <c r="S332" s="39">
        <v>2791.01</v>
      </c>
      <c r="T332" s="39">
        <f>ABS(Table248[[#This Row],[mTVD
Lower
Marker]]-Table248[[#This Row],[TVD
(m)]])</f>
        <v>4.3100000000004002</v>
      </c>
      <c r="U332" s="39">
        <v>2781.01</v>
      </c>
      <c r="V332" s="39">
        <f>ABS(Table248[[#This Row],[mTVD
Upper
Marker]]-Table248[[#This Row],[TVD
(m)]])</f>
        <v>5.6899999999995998</v>
      </c>
      <c r="W332" s="37" cm="1">
        <f t="array" ref="W332">CheckYellowFill(Table248[[#This Row],[MD
(m)]])</f>
        <v>0</v>
      </c>
      <c r="X332" s="39" cm="1">
        <f t="array" ref="X332">isfontcolorred(Table248[[#This Row],[MD
(m)]])</f>
        <v>0</v>
      </c>
      <c r="Y332" s="37">
        <f>IF(Table248[[#This Row],[Plug Depth
Plan
(m)]]&lt;&gt;0,1,0)</f>
        <v>0</v>
      </c>
      <c r="Z332" s="39"/>
      <c r="AA332" s="40" t="str">
        <f>IF(Table248[[#This Row],[Plug Depth
Plan
(m)]]=0,"",ABS(Table248[[#This Row],[Plug Depth
Plan
(m)]]-Table248[[#This Row],[MD
(m)]]))</f>
        <v/>
      </c>
    </row>
    <row r="333" spans="1:28" ht="16" thickBot="1" x14ac:dyDescent="0.25">
      <c r="A333" s="54">
        <v>5087.3999999999996</v>
      </c>
      <c r="B333" s="20">
        <v>2786.67980861244</v>
      </c>
      <c r="C333" s="3"/>
      <c r="D333" s="3"/>
      <c r="E333" s="8"/>
      <c r="F333" s="48"/>
      <c r="G333" s="48"/>
      <c r="H333" s="48"/>
      <c r="I333" s="48"/>
      <c r="J333" s="7"/>
      <c r="K333" s="3"/>
      <c r="L333" s="3"/>
      <c r="M333" s="3"/>
      <c r="N333" s="8"/>
      <c r="O333" s="50"/>
      <c r="P333" s="50"/>
      <c r="Q333" s="50"/>
      <c r="R333" s="50"/>
      <c r="S333" s="39"/>
      <c r="T333" s="39"/>
      <c r="U333" s="39"/>
      <c r="V333" s="39"/>
      <c r="W333" s="37" cm="1">
        <f t="array" ref="W333">CheckYellowFill(Table248[[#This Row],[MD
(m)]])</f>
        <v>0</v>
      </c>
      <c r="X333" s="39" cm="1">
        <f t="array" ref="X333">isfontcolorred(Table248[[#This Row],[MD
(m)]])</f>
        <v>1</v>
      </c>
      <c r="Y333" s="37">
        <f>IF(Table248[[#This Row],[Plug Depth
Plan
(m)]]&lt;&gt;0,1,0)</f>
        <v>0</v>
      </c>
      <c r="Z333" s="39"/>
      <c r="AA333" s="40" t="str">
        <f>IF(Table248[[#This Row],[Plug Depth
Plan
(m)]]=0,"",ABS(Table248[[#This Row],[Plug Depth
Plan
(m)]]-Table248[[#This Row],[MD
(m)]]))</f>
        <v/>
      </c>
      <c r="AB333" s="28">
        <v>10743</v>
      </c>
    </row>
    <row r="334" spans="1:28" ht="16" thickBot="1" x14ac:dyDescent="0.25">
      <c r="A334" s="54">
        <v>5099.8999999999996</v>
      </c>
      <c r="B334" s="20">
        <v>2786.5601913875598</v>
      </c>
      <c r="C334" s="3"/>
      <c r="D334" s="3"/>
      <c r="E334" s="8"/>
      <c r="F334" s="48"/>
      <c r="G334" s="48"/>
      <c r="H334" s="48"/>
      <c r="I334" s="48"/>
      <c r="J334" s="7"/>
      <c r="K334" s="3"/>
      <c r="L334" s="3"/>
      <c r="M334" s="3"/>
      <c r="N334" s="8"/>
      <c r="O334" s="50"/>
      <c r="P334" s="50"/>
      <c r="Q334" s="50"/>
      <c r="R334" s="50"/>
      <c r="S334" s="39"/>
      <c r="T334" s="39"/>
      <c r="U334" s="39"/>
      <c r="V334" s="39"/>
      <c r="W334" s="37" cm="1">
        <f t="array" ref="W334">CheckYellowFill(Table248[[#This Row],[MD
(m)]])</f>
        <v>0</v>
      </c>
      <c r="X334" s="39" cm="1">
        <f t="array" ref="X334">isfontcolorred(Table248[[#This Row],[MD
(m)]])</f>
        <v>1</v>
      </c>
      <c r="Y334" s="37">
        <f>IF(Table248[[#This Row],[Plug Depth
Plan
(m)]]&lt;&gt;0,1,0)</f>
        <v>0</v>
      </c>
      <c r="Z334" s="39"/>
      <c r="AA334" s="40" t="str">
        <f>IF(Table248[[#This Row],[Plug Depth
Plan
(m)]]=0,"",ABS(Table248[[#This Row],[Plug Depth
Plan
(m)]]-Table248[[#This Row],[MD
(m)]]))</f>
        <v/>
      </c>
      <c r="AB334" s="28">
        <v>10743</v>
      </c>
    </row>
    <row r="335" spans="1:28" ht="16" thickBot="1" x14ac:dyDescent="0.25">
      <c r="A335" s="59">
        <v>5104.8999999999996</v>
      </c>
      <c r="B335" s="58">
        <v>2786.512344497608</v>
      </c>
      <c r="C335" s="3"/>
      <c r="D335" s="3"/>
      <c r="E335" s="8"/>
      <c r="F335" s="48"/>
      <c r="G335" s="48"/>
      <c r="H335" s="48"/>
      <c r="I335" s="48"/>
      <c r="J335" s="7"/>
      <c r="K335" s="3"/>
      <c r="L335" s="3"/>
      <c r="M335" s="3"/>
      <c r="N335" s="8"/>
      <c r="O335" s="50"/>
      <c r="P335" s="50"/>
      <c r="Q335" s="50"/>
      <c r="R335" s="50"/>
      <c r="S335" s="39"/>
      <c r="T335" s="39"/>
      <c r="U335" s="39"/>
      <c r="V335" s="39"/>
      <c r="W335" s="37" cm="1">
        <f t="array" ref="W335">CheckYellowFill(Table248[[#This Row],[MD
(m)]])</f>
        <v>1</v>
      </c>
      <c r="X335" s="39" cm="1">
        <f t="array" ref="X335">isfontcolorred(Table248[[#This Row],[MD
(m)]])</f>
        <v>0</v>
      </c>
      <c r="Y335" s="37">
        <f>IF(Table248[[#This Row],[Plug Depth
Plan
(m)]]&lt;&gt;0,1,0)</f>
        <v>1</v>
      </c>
      <c r="Z335" s="39">
        <v>5241.3</v>
      </c>
      <c r="AA335" s="40">
        <f>IF(Table248[[#This Row],[Plug Depth
Plan
(m)]]=0,"",ABS(Table248[[#This Row],[Plug Depth
Plan
(m)]]-Table248[[#This Row],[MD
(m)]]))</f>
        <v>136.40000000000055</v>
      </c>
    </row>
    <row r="336" spans="1:28" ht="16" thickBot="1" x14ac:dyDescent="0.25">
      <c r="A336" s="22">
        <v>5114.55</v>
      </c>
      <c r="B336" s="9">
        <v>2786.42</v>
      </c>
      <c r="C336" s="3">
        <v>90.8</v>
      </c>
      <c r="D336" s="3">
        <v>357.29</v>
      </c>
      <c r="E336" s="8">
        <v>5.57</v>
      </c>
      <c r="F336" s="69">
        <v>2451.19</v>
      </c>
      <c r="G336" s="69">
        <v>213.2</v>
      </c>
      <c r="H336" s="69">
        <v>0.53</v>
      </c>
      <c r="I336" s="69">
        <v>-5.55</v>
      </c>
      <c r="J336" s="7">
        <v>5075.01</v>
      </c>
      <c r="K336" s="3">
        <v>2786.28</v>
      </c>
      <c r="L336" s="3">
        <v>89.777000000000001</v>
      </c>
      <c r="M336" s="3">
        <v>0.05</v>
      </c>
      <c r="N336" s="8">
        <v>0</v>
      </c>
      <c r="O336" s="50">
        <v>2402.6799999999998</v>
      </c>
      <c r="P336" s="50">
        <v>189.92</v>
      </c>
      <c r="Q336" s="50">
        <v>0</v>
      </c>
      <c r="R336" s="50">
        <v>0</v>
      </c>
      <c r="S336" s="39">
        <v>2790.97</v>
      </c>
      <c r="T336" s="39">
        <f>ABS(Table248[[#This Row],[mTVD
Lower
Marker]]-Table248[[#This Row],[TVD
(m)]])</f>
        <v>4.5499999999997272</v>
      </c>
      <c r="U336" s="39">
        <v>2780.97</v>
      </c>
      <c r="V336" s="39">
        <f>ABS(Table248[[#This Row],[mTVD
Upper
Marker]]-Table248[[#This Row],[TVD
(m)]])</f>
        <v>5.4500000000002728</v>
      </c>
      <c r="W336" s="37" cm="1">
        <f t="array" ref="W336">CheckYellowFill(Table248[[#This Row],[MD
(m)]])</f>
        <v>0</v>
      </c>
      <c r="X336" s="39" cm="1">
        <f t="array" ref="X336">isfontcolorred(Table248[[#This Row],[MD
(m)]])</f>
        <v>0</v>
      </c>
      <c r="Y336" s="37">
        <v>1</v>
      </c>
      <c r="Z336" s="39"/>
      <c r="AA336" s="40" t="str">
        <f>IF(Table248[[#This Row],[Plug Depth
Plan
(m)]]=0,"",ABS(Table248[[#This Row],[Plug Depth
Plan
(m)]]-Table248[[#This Row],[MD
(m)]]))</f>
        <v/>
      </c>
    </row>
    <row r="337" spans="1:29" ht="16" thickBot="1" x14ac:dyDescent="0.25">
      <c r="A337" s="22">
        <v>5143.82</v>
      </c>
      <c r="B337" s="9">
        <v>2785.93</v>
      </c>
      <c r="C337" s="3">
        <v>91.11</v>
      </c>
      <c r="D337" s="3">
        <v>355.63</v>
      </c>
      <c r="E337" s="8">
        <v>1.73</v>
      </c>
      <c r="F337" s="69">
        <v>2480.4</v>
      </c>
      <c r="G337" s="69">
        <v>211.4</v>
      </c>
      <c r="H337" s="69">
        <v>0.32</v>
      </c>
      <c r="I337" s="69">
        <v>-1.7</v>
      </c>
      <c r="J337" s="7">
        <v>5105.01</v>
      </c>
      <c r="K337" s="3">
        <v>2786.4</v>
      </c>
      <c r="L337" s="3">
        <v>89.777000000000001</v>
      </c>
      <c r="M337" s="3">
        <v>0.05</v>
      </c>
      <c r="N337" s="8">
        <v>0</v>
      </c>
      <c r="O337" s="50">
        <v>2432.6799999999998</v>
      </c>
      <c r="P337" s="50">
        <v>189.95</v>
      </c>
      <c r="Q337" s="50">
        <v>0</v>
      </c>
      <c r="R337" s="50">
        <v>0</v>
      </c>
      <c r="S337" s="39">
        <v>2790.85</v>
      </c>
      <c r="T337" s="39">
        <f>ABS(Table248[[#This Row],[mTVD
Lower
Marker]]-Table248[[#This Row],[TVD
(m)]])</f>
        <v>4.9200000000000728</v>
      </c>
      <c r="U337" s="39">
        <v>2780.85</v>
      </c>
      <c r="V337" s="39">
        <f>ABS(Table248[[#This Row],[mTVD
Upper
Marker]]-Table248[[#This Row],[TVD
(m)]])</f>
        <v>5.0799999999999272</v>
      </c>
      <c r="W337" s="37" cm="1">
        <f t="array" ref="W337">CheckYellowFill(Table248[[#This Row],[MD
(m)]])</f>
        <v>0</v>
      </c>
      <c r="X337" s="39" cm="1">
        <f t="array" ref="X337">isfontcolorred(Table248[[#This Row],[MD
(m)]])</f>
        <v>0</v>
      </c>
      <c r="Y337" s="37">
        <v>1</v>
      </c>
      <c r="Z337" s="39"/>
      <c r="AA337" s="40" t="str">
        <f>IF(Table248[[#This Row],[Plug Depth
Plan
(m)]]=0,"",ABS(Table248[[#This Row],[Plug Depth
Plan
(m)]]-Table248[[#This Row],[MD
(m)]]))</f>
        <v/>
      </c>
    </row>
    <row r="338" spans="1:29" ht="16" thickBot="1" x14ac:dyDescent="0.25">
      <c r="A338" s="22">
        <v>5172.68</v>
      </c>
      <c r="B338" s="9">
        <v>2785.81</v>
      </c>
      <c r="C338" s="3">
        <v>89.38</v>
      </c>
      <c r="D338" s="3">
        <v>355.64</v>
      </c>
      <c r="E338" s="8">
        <v>1.8</v>
      </c>
      <c r="F338" s="69">
        <v>2509.1799999999998</v>
      </c>
      <c r="G338" s="69">
        <v>209.2</v>
      </c>
      <c r="H338" s="69">
        <v>-1.8</v>
      </c>
      <c r="I338" s="69">
        <v>0.01</v>
      </c>
      <c r="J338" s="7">
        <v>5135.01</v>
      </c>
      <c r="K338" s="3">
        <v>2786.51</v>
      </c>
      <c r="L338" s="3">
        <v>89.777000000000001</v>
      </c>
      <c r="M338" s="3">
        <v>0.05</v>
      </c>
      <c r="N338" s="8">
        <v>0</v>
      </c>
      <c r="O338" s="50">
        <v>2462.6799999999998</v>
      </c>
      <c r="P338" s="50">
        <v>189.98</v>
      </c>
      <c r="Q338" s="50">
        <v>0</v>
      </c>
      <c r="R338" s="50">
        <v>0</v>
      </c>
      <c r="S338" s="39">
        <v>2790.64</v>
      </c>
      <c r="T338" s="39">
        <f>ABS(Table248[[#This Row],[mTVD
Lower
Marker]]-Table248[[#This Row],[TVD
(m)]])</f>
        <v>4.8299999999999272</v>
      </c>
      <c r="U338" s="39">
        <v>2780.64</v>
      </c>
      <c r="V338" s="39">
        <f>ABS(Table248[[#This Row],[mTVD
Upper
Marker]]-Table248[[#This Row],[TVD
(m)]])</f>
        <v>5.1700000000000728</v>
      </c>
      <c r="W338" s="37" cm="1">
        <f t="array" ref="W338">CheckYellowFill(Table248[[#This Row],[MD
(m)]])</f>
        <v>0</v>
      </c>
      <c r="X338" s="39" cm="1">
        <f t="array" ref="X338">isfontcolorred(Table248[[#This Row],[MD
(m)]])</f>
        <v>0</v>
      </c>
      <c r="Y338" s="37">
        <v>1</v>
      </c>
      <c r="Z338" s="39"/>
      <c r="AA338" s="40" t="str">
        <f>IF(Table248[[#This Row],[Plug Depth
Plan
(m)]]=0,"",ABS(Table248[[#This Row],[Plug Depth
Plan
(m)]]-Table248[[#This Row],[MD
(m)]]))</f>
        <v/>
      </c>
    </row>
    <row r="339" spans="1:29" ht="16" thickBot="1" x14ac:dyDescent="0.25">
      <c r="A339" s="22">
        <v>5201.7</v>
      </c>
      <c r="B339" s="9">
        <v>2786.01</v>
      </c>
      <c r="C339" s="3">
        <v>89.82</v>
      </c>
      <c r="D339" s="3">
        <v>355.01</v>
      </c>
      <c r="E339" s="8">
        <v>0.79</v>
      </c>
      <c r="F339" s="69">
        <v>2538.1</v>
      </c>
      <c r="G339" s="69">
        <v>206.83</v>
      </c>
      <c r="H339" s="69">
        <v>0.45</v>
      </c>
      <c r="I339" s="69">
        <v>-0.65</v>
      </c>
      <c r="J339" s="7">
        <v>5165.01</v>
      </c>
      <c r="K339" s="3">
        <v>2786.63</v>
      </c>
      <c r="L339" s="3">
        <v>89.777000000000001</v>
      </c>
      <c r="M339" s="3">
        <v>0.05</v>
      </c>
      <c r="N339" s="8">
        <v>0</v>
      </c>
      <c r="O339" s="50">
        <v>2492.6799999999998</v>
      </c>
      <c r="P339" s="50">
        <v>190</v>
      </c>
      <c r="Q339" s="50">
        <v>0</v>
      </c>
      <c r="R339" s="50">
        <v>0</v>
      </c>
      <c r="S339" s="39">
        <v>2790.42</v>
      </c>
      <c r="T339" s="39">
        <f>ABS(Table248[[#This Row],[mTVD
Lower
Marker]]-Table248[[#This Row],[TVD
(m)]])</f>
        <v>4.4099999999998545</v>
      </c>
      <c r="U339" s="39">
        <v>2780.42</v>
      </c>
      <c r="V339" s="39">
        <f>ABS(Table248[[#This Row],[mTVD
Upper
Marker]]-Table248[[#This Row],[TVD
(m)]])</f>
        <v>5.5900000000001455</v>
      </c>
      <c r="W339" s="37" cm="1">
        <f t="array" ref="W339">CheckYellowFill(Table248[[#This Row],[MD
(m)]])</f>
        <v>0</v>
      </c>
      <c r="X339" s="39" cm="1">
        <f t="array" ref="X339">isfontcolorred(Table248[[#This Row],[MD
(m)]])</f>
        <v>0</v>
      </c>
      <c r="Y339" s="37">
        <v>1</v>
      </c>
      <c r="Z339" s="39"/>
      <c r="AA339" s="40" t="str">
        <f>IF(Table248[[#This Row],[Plug Depth
Plan
(m)]]=0,"",ABS(Table248[[#This Row],[Plug Depth
Plan
(m)]]-Table248[[#This Row],[MD
(m)]]))</f>
        <v/>
      </c>
    </row>
    <row r="340" spans="1:29" ht="16" thickBot="1" x14ac:dyDescent="0.25">
      <c r="A340" s="22">
        <v>5230.72</v>
      </c>
      <c r="B340" s="9">
        <v>2785.72</v>
      </c>
      <c r="C340" s="3">
        <v>91.32</v>
      </c>
      <c r="D340" s="3">
        <v>356.46</v>
      </c>
      <c r="E340" s="8">
        <v>2.16</v>
      </c>
      <c r="F340" s="69">
        <v>2567.04</v>
      </c>
      <c r="G340" s="69">
        <v>204.68</v>
      </c>
      <c r="H340" s="69">
        <v>1.55</v>
      </c>
      <c r="I340" s="69">
        <v>1.5</v>
      </c>
      <c r="J340" s="7">
        <v>5195.01</v>
      </c>
      <c r="K340" s="3">
        <v>2786.75</v>
      </c>
      <c r="L340" s="3">
        <v>89.777000000000001</v>
      </c>
      <c r="M340" s="3">
        <v>0.05</v>
      </c>
      <c r="N340" s="8">
        <v>0</v>
      </c>
      <c r="O340" s="50">
        <v>2522.6799999999998</v>
      </c>
      <c r="P340" s="50">
        <v>190.03</v>
      </c>
      <c r="Q340" s="50">
        <v>0</v>
      </c>
      <c r="R340" s="50">
        <v>0</v>
      </c>
      <c r="S340" s="39">
        <v>2789.89</v>
      </c>
      <c r="T340" s="39">
        <f>ABS(Table248[[#This Row],[mTVD
Lower
Marker]]-Table248[[#This Row],[TVD
(m)]])</f>
        <v>4.1700000000000728</v>
      </c>
      <c r="U340" s="39">
        <v>2779.89</v>
      </c>
      <c r="V340" s="39">
        <f>ABS(Table248[[#This Row],[mTVD
Upper
Marker]]-Table248[[#This Row],[TVD
(m)]])</f>
        <v>5.8299999999999272</v>
      </c>
      <c r="W340" s="37" cm="1">
        <f t="array" ref="W340">CheckYellowFill(Table248[[#This Row],[MD
(m)]])</f>
        <v>0</v>
      </c>
      <c r="X340" s="39" cm="1">
        <f t="array" ref="X340">isfontcolorred(Table248[[#This Row],[MD
(m)]])</f>
        <v>0</v>
      </c>
      <c r="Y340" s="37">
        <v>1</v>
      </c>
      <c r="Z340" s="39"/>
      <c r="AA340" s="40" t="str">
        <f>IF(Table248[[#This Row],[Plug Depth
Plan
(m)]]=0,"",ABS(Table248[[#This Row],[Plug Depth
Plan
(m)]]-Table248[[#This Row],[MD
(m)]]))</f>
        <v/>
      </c>
    </row>
    <row r="341" spans="1:29" ht="16" thickBot="1" x14ac:dyDescent="0.25">
      <c r="A341" s="51">
        <v>5241.3</v>
      </c>
      <c r="B341" s="20">
        <v>2785.4947390109887</v>
      </c>
      <c r="C341" s="3"/>
      <c r="D341" s="3"/>
      <c r="E341" s="8"/>
      <c r="F341" s="48"/>
      <c r="G341" s="48"/>
      <c r="H341" s="48"/>
      <c r="I341" s="48"/>
      <c r="J341" s="7"/>
      <c r="K341" s="3"/>
      <c r="L341" s="3"/>
      <c r="M341" s="3"/>
      <c r="N341" s="8"/>
      <c r="O341" s="50"/>
      <c r="P341" s="50"/>
      <c r="Q341" s="50"/>
      <c r="R341" s="50"/>
      <c r="S341" s="39"/>
      <c r="T341" s="39"/>
      <c r="U341" s="39"/>
      <c r="V341" s="39"/>
      <c r="W341" s="37" cm="1">
        <f t="array" ref="W341">CheckYellowFill(Table248[[#This Row],[MD
(m)]])</f>
        <v>0</v>
      </c>
      <c r="X341" s="39" cm="1">
        <f t="array" ref="X341">isfontcolorred(Table248[[#This Row],[MD
(m)]])</f>
        <v>1</v>
      </c>
      <c r="Y341" s="37">
        <v>1</v>
      </c>
      <c r="Z341" s="39"/>
      <c r="AA341" s="40" t="str">
        <f>IF(Table248[[#This Row],[Plug Depth
Plan
(m)]]=0,"",ABS(Table248[[#This Row],[Plug Depth
Plan
(m)]]-Table248[[#This Row],[MD
(m)]]))</f>
        <v/>
      </c>
      <c r="AB341" s="28">
        <v>10600</v>
      </c>
    </row>
    <row r="342" spans="1:29" ht="16" thickBot="1" x14ac:dyDescent="0.25">
      <c r="A342" s="54">
        <v>5248.8</v>
      </c>
      <c r="B342" s="20">
        <v>2785.3350549450547</v>
      </c>
      <c r="C342" s="3"/>
      <c r="D342" s="3"/>
      <c r="E342" s="8"/>
      <c r="F342" s="48"/>
      <c r="G342" s="48"/>
      <c r="H342" s="48"/>
      <c r="I342" s="48"/>
      <c r="J342" s="7"/>
      <c r="K342" s="3"/>
      <c r="L342" s="3"/>
      <c r="M342" s="3"/>
      <c r="N342" s="8"/>
      <c r="O342" s="50"/>
      <c r="P342" s="50"/>
      <c r="Q342" s="50"/>
      <c r="R342" s="50"/>
      <c r="S342" s="39"/>
      <c r="T342" s="39"/>
      <c r="U342" s="39"/>
      <c r="V342" s="39"/>
      <c r="W342" s="37" cm="1">
        <f t="array" ref="W342">CheckYellowFill(Table248[[#This Row],[MD
(m)]])</f>
        <v>0</v>
      </c>
      <c r="X342" s="39" cm="1">
        <f t="array" ref="X342">isfontcolorred(Table248[[#This Row],[MD
(m)]])</f>
        <v>1</v>
      </c>
      <c r="Y342" s="37">
        <f>IF(Table248[[#This Row],[Plug Depth
Plan
(m)]]&lt;&gt;0,1,0)</f>
        <v>0</v>
      </c>
      <c r="Z342" s="39"/>
      <c r="AA342" s="40" t="str">
        <f>IF(Table248[[#This Row],[Plug Depth
Plan
(m)]]=0,"",ABS(Table248[[#This Row],[Plug Depth
Plan
(m)]]-Table248[[#This Row],[MD
(m)]]))</f>
        <v/>
      </c>
      <c r="AB342" s="28">
        <v>10600</v>
      </c>
    </row>
    <row r="343" spans="1:29" ht="16" thickBot="1" x14ac:dyDescent="0.25">
      <c r="A343" s="22">
        <v>5259.84</v>
      </c>
      <c r="B343" s="9">
        <v>2785.1</v>
      </c>
      <c r="C343" s="3">
        <v>91.14</v>
      </c>
      <c r="D343" s="3">
        <v>355.22</v>
      </c>
      <c r="E343" s="8">
        <v>1.29</v>
      </c>
      <c r="F343" s="69">
        <v>2596.0700000000002</v>
      </c>
      <c r="G343" s="69">
        <v>202.56</v>
      </c>
      <c r="H343" s="69">
        <v>-0.19</v>
      </c>
      <c r="I343" s="69">
        <v>-1.28</v>
      </c>
      <c r="J343" s="7">
        <v>5225.01</v>
      </c>
      <c r="K343" s="3">
        <v>2786.86</v>
      </c>
      <c r="L343" s="3">
        <v>89.777000000000001</v>
      </c>
      <c r="M343" s="3">
        <v>0.05</v>
      </c>
      <c r="N343" s="8">
        <v>0</v>
      </c>
      <c r="O343" s="50">
        <v>2552.6799999999998</v>
      </c>
      <c r="P343" s="50">
        <v>190.06</v>
      </c>
      <c r="Q343" s="50">
        <v>0</v>
      </c>
      <c r="R343" s="50">
        <v>0</v>
      </c>
      <c r="S343" s="39">
        <v>2789.23</v>
      </c>
      <c r="T343" s="39">
        <f>ABS(Table248[[#This Row],[mTVD
Lower
Marker]]-Table248[[#This Row],[TVD
(m)]])</f>
        <v>4.1300000000001091</v>
      </c>
      <c r="U343" s="39">
        <v>2779.23</v>
      </c>
      <c r="V343" s="39">
        <f>ABS(Table248[[#This Row],[mTVD
Upper
Marker]]-Table248[[#This Row],[TVD
(m)]])</f>
        <v>5.8699999999998909</v>
      </c>
      <c r="W343" s="37" cm="1">
        <f t="array" ref="W343">CheckYellowFill(Table248[[#This Row],[MD
(m)]])</f>
        <v>0</v>
      </c>
      <c r="X343" s="39" cm="1">
        <f t="array" ref="X343">isfontcolorred(Table248[[#This Row],[MD
(m)]])</f>
        <v>0</v>
      </c>
      <c r="Y343" s="37">
        <f>IF(Table248[[#This Row],[Plug Depth
Plan
(m)]]&lt;&gt;0,1,0)</f>
        <v>0</v>
      </c>
      <c r="Z343" s="39"/>
      <c r="AA343" s="40" t="str">
        <f>IF(Table248[[#This Row],[Plug Depth
Plan
(m)]]=0,"",ABS(Table248[[#This Row],[Plug Depth
Plan
(m)]]-Table248[[#This Row],[MD
(m)]]))</f>
        <v/>
      </c>
    </row>
    <row r="344" spans="1:29" ht="16" thickBot="1" x14ac:dyDescent="0.25">
      <c r="A344" s="54">
        <v>5261.3</v>
      </c>
      <c r="B344" s="20">
        <v>2785.0683683141501</v>
      </c>
      <c r="C344" s="3"/>
      <c r="D344" s="3"/>
      <c r="E344" s="8"/>
      <c r="F344" s="48"/>
      <c r="G344" s="48"/>
      <c r="H344" s="48"/>
      <c r="I344" s="48"/>
      <c r="J344" s="7"/>
      <c r="K344" s="3"/>
      <c r="L344" s="3"/>
      <c r="M344" s="3"/>
      <c r="N344" s="8"/>
      <c r="O344" s="50"/>
      <c r="P344" s="50"/>
      <c r="Q344" s="50"/>
      <c r="R344" s="50"/>
      <c r="S344" s="39"/>
      <c r="T344" s="39"/>
      <c r="U344" s="39"/>
      <c r="V344" s="39"/>
      <c r="W344" s="37" cm="1">
        <f t="array" ref="W344">CheckYellowFill(Table248[[#This Row],[MD
(m)]])</f>
        <v>0</v>
      </c>
      <c r="X344" s="39" cm="1">
        <f t="array" ref="X344">isfontcolorred(Table248[[#This Row],[MD
(m)]])</f>
        <v>1</v>
      </c>
      <c r="Y344" s="37">
        <f>IF(Table248[[#This Row],[Plug Depth
Plan
(m)]]&lt;&gt;0,1,0)</f>
        <v>0</v>
      </c>
      <c r="Z344" s="39"/>
      <c r="AA344" s="40" t="str">
        <f>IF(Table248[[#This Row],[Plug Depth
Plan
(m)]]=0,"",ABS(Table248[[#This Row],[Plug Depth
Plan
(m)]]-Table248[[#This Row],[MD
(m)]]))</f>
        <v/>
      </c>
      <c r="AB344" s="28">
        <v>10600</v>
      </c>
    </row>
    <row r="345" spans="1:29" ht="16" thickBot="1" x14ac:dyDescent="0.25">
      <c r="A345" s="51">
        <v>5273.8</v>
      </c>
      <c r="B345" s="20">
        <v>2784.7975490859849</v>
      </c>
      <c r="C345" s="3"/>
      <c r="D345" s="3"/>
      <c r="E345" s="8"/>
      <c r="F345" s="48"/>
      <c r="G345" s="48"/>
      <c r="H345" s="48"/>
      <c r="I345" s="48"/>
      <c r="J345" s="7"/>
      <c r="K345" s="3"/>
      <c r="L345" s="3"/>
      <c r="M345" s="3"/>
      <c r="N345" s="8"/>
      <c r="O345" s="50"/>
      <c r="P345" s="50"/>
      <c r="Q345" s="50"/>
      <c r="R345" s="50"/>
      <c r="S345" s="39"/>
      <c r="T345" s="39"/>
      <c r="U345" s="39"/>
      <c r="V345" s="39"/>
      <c r="W345" s="37" cm="1">
        <f t="array" ref="W345">CheckYellowFill(Table248[[#This Row],[MD
(m)]])</f>
        <v>0</v>
      </c>
      <c r="X345" s="39" cm="1">
        <f t="array" ref="X345">isfontcolorred(Table248[[#This Row],[MD
(m)]])</f>
        <v>1</v>
      </c>
      <c r="Y345" s="37">
        <f>IF(Table248[[#This Row],[Plug Depth
Plan
(m)]]&lt;&gt;0,1,0)</f>
        <v>0</v>
      </c>
      <c r="Z345" s="39"/>
      <c r="AA345" s="40" t="str">
        <f>IF(Table248[[#This Row],[Plug Depth
Plan
(m)]]=0,"",ABS(Table248[[#This Row],[Plug Depth
Plan
(m)]]-Table248[[#This Row],[MD
(m)]]))</f>
        <v/>
      </c>
      <c r="AB345" s="28">
        <v>10600</v>
      </c>
    </row>
    <row r="346" spans="1:29" ht="16" thickBot="1" x14ac:dyDescent="0.25">
      <c r="A346" s="54">
        <v>5286.3</v>
      </c>
      <c r="B346" s="20">
        <v>2784.5267298578196</v>
      </c>
      <c r="C346" s="3"/>
      <c r="D346" s="3"/>
      <c r="E346" s="8"/>
      <c r="F346" s="48"/>
      <c r="G346" s="48"/>
      <c r="H346" s="48"/>
      <c r="I346" s="48"/>
      <c r="J346" s="7"/>
      <c r="K346" s="3"/>
      <c r="L346" s="3"/>
      <c r="M346" s="3"/>
      <c r="N346" s="8"/>
      <c r="O346" s="50"/>
      <c r="P346" s="50"/>
      <c r="Q346" s="50"/>
      <c r="R346" s="50"/>
      <c r="S346" s="39"/>
      <c r="T346" s="39"/>
      <c r="U346" s="39"/>
      <c r="V346" s="39"/>
      <c r="W346" s="37" cm="1">
        <f t="array" ref="W346">CheckYellowFill(Table248[[#This Row],[MD
(m)]])</f>
        <v>0</v>
      </c>
      <c r="X346" s="39" cm="1">
        <f t="array" ref="X346">isfontcolorred(Table248[[#This Row],[MD
(m)]])</f>
        <v>1</v>
      </c>
      <c r="Y346" s="37">
        <f>IF(Table248[[#This Row],[Plug Depth
Plan
(m)]]&lt;&gt;0,1,0)</f>
        <v>0</v>
      </c>
      <c r="Z346" s="39"/>
      <c r="AA346" s="40" t="str">
        <f>IF(Table248[[#This Row],[Plug Depth
Plan
(m)]]=0,"",ABS(Table248[[#This Row],[Plug Depth
Plan
(m)]]-Table248[[#This Row],[MD
(m)]]))</f>
        <v/>
      </c>
      <c r="AB346" s="28">
        <v>10600</v>
      </c>
    </row>
    <row r="347" spans="1:29" ht="16" thickBot="1" x14ac:dyDescent="0.25">
      <c r="A347" s="22">
        <v>5289.38</v>
      </c>
      <c r="B347" s="9">
        <v>2784.46</v>
      </c>
      <c r="C347" s="3">
        <v>91.32</v>
      </c>
      <c r="D347" s="3">
        <v>354.21</v>
      </c>
      <c r="E347" s="8">
        <v>1.04</v>
      </c>
      <c r="F347" s="69">
        <v>2625.48</v>
      </c>
      <c r="G347" s="69">
        <v>199.84</v>
      </c>
      <c r="H347" s="69">
        <v>0.18</v>
      </c>
      <c r="I347" s="69">
        <v>-1.03</v>
      </c>
      <c r="J347" s="7">
        <v>5255.01</v>
      </c>
      <c r="K347" s="3">
        <v>2786.98</v>
      </c>
      <c r="L347" s="3">
        <v>89.777000000000001</v>
      </c>
      <c r="M347" s="3">
        <v>0.05</v>
      </c>
      <c r="N347" s="8">
        <v>0</v>
      </c>
      <c r="O347" s="50">
        <v>2582.6799999999998</v>
      </c>
      <c r="P347" s="50">
        <v>190.08</v>
      </c>
      <c r="Q347" s="50">
        <v>0</v>
      </c>
      <c r="R347" s="50">
        <v>0</v>
      </c>
      <c r="S347" s="39">
        <v>2788.59</v>
      </c>
      <c r="T347" s="39">
        <f>ABS(Table248[[#This Row],[mTVD
Lower
Marker]]-Table248[[#This Row],[TVD
(m)]])</f>
        <v>4.1300000000001091</v>
      </c>
      <c r="U347" s="39">
        <v>2778.59</v>
      </c>
      <c r="V347" s="39">
        <f>ABS(Table248[[#This Row],[mTVD
Upper
Marker]]-Table248[[#This Row],[TVD
(m)]])</f>
        <v>5.8699999999998909</v>
      </c>
      <c r="W347" s="37" cm="1">
        <f t="array" ref="W347">CheckYellowFill(Table248[[#This Row],[MD
(m)]])</f>
        <v>0</v>
      </c>
      <c r="X347" s="39" cm="1">
        <f t="array" ref="X347">isfontcolorred(Table248[[#This Row],[MD
(m)]])</f>
        <v>0</v>
      </c>
      <c r="Y347" s="37">
        <f>IF(Table248[[#This Row],[Plug Depth
Plan
(m)]]&lt;&gt;0,1,0)</f>
        <v>0</v>
      </c>
      <c r="Z347" s="39"/>
      <c r="AA347" s="40" t="str">
        <f>IF(Table248[[#This Row],[Plug Depth
Plan
(m)]]=0,"",ABS(Table248[[#This Row],[Plug Depth
Plan
(m)]]-Table248[[#This Row],[MD
(m)]]))</f>
        <v/>
      </c>
    </row>
    <row r="348" spans="1:29" ht="16" thickBot="1" x14ac:dyDescent="0.25">
      <c r="A348" s="57">
        <v>5291.3</v>
      </c>
      <c r="B348" s="58">
        <v>2784.41633401222</v>
      </c>
      <c r="C348" s="3"/>
      <c r="D348" s="3"/>
      <c r="E348" s="8"/>
      <c r="F348" s="48"/>
      <c r="G348" s="48"/>
      <c r="H348" s="48"/>
      <c r="I348" s="48"/>
      <c r="J348" s="7"/>
      <c r="K348" s="3"/>
      <c r="L348" s="3"/>
      <c r="M348" s="3"/>
      <c r="N348" s="8"/>
      <c r="O348" s="50"/>
      <c r="P348" s="50"/>
      <c r="Q348" s="50"/>
      <c r="R348" s="50"/>
      <c r="S348" s="39"/>
      <c r="T348" s="39"/>
      <c r="U348" s="39"/>
      <c r="V348" s="39"/>
      <c r="W348" s="37" cm="1">
        <f t="array" ref="W348">CheckYellowFill(Table248[[#This Row],[MD
(m)]])</f>
        <v>1</v>
      </c>
      <c r="X348" s="39" cm="1">
        <f t="array" ref="X348">isfontcolorred(Table248[[#This Row],[MD
(m)]])</f>
        <v>0</v>
      </c>
      <c r="Y348" s="37">
        <f>IF(Table248[[#This Row],[Plug Depth
Plan
(m)]]&lt;&gt;0,1,0)</f>
        <v>1</v>
      </c>
      <c r="Z348" s="39">
        <v>5311.3</v>
      </c>
      <c r="AA348" s="40">
        <f>IF(Table248[[#This Row],[Plug Depth
Plan
(m)]]=0,"",ABS(Table248[[#This Row],[Plug Depth
Plan
(m)]]-Table248[[#This Row],[MD
(m)]]))</f>
        <v>20</v>
      </c>
      <c r="AC348" s="71"/>
    </row>
    <row r="349" spans="1:29" ht="16" thickBot="1" x14ac:dyDescent="0.25">
      <c r="A349" s="51">
        <v>5311.3</v>
      </c>
      <c r="B349" s="20">
        <v>2783.9614799728442</v>
      </c>
      <c r="C349" s="3"/>
      <c r="D349" s="3"/>
      <c r="E349" s="8"/>
      <c r="F349" s="48"/>
      <c r="G349" s="48"/>
      <c r="H349" s="48"/>
      <c r="I349" s="48"/>
      <c r="J349" s="7"/>
      <c r="K349" s="3"/>
      <c r="L349" s="3"/>
      <c r="M349" s="3"/>
      <c r="N349" s="8"/>
      <c r="O349" s="50"/>
      <c r="P349" s="50"/>
      <c r="Q349" s="50"/>
      <c r="R349" s="50"/>
      <c r="S349" s="39"/>
      <c r="T349" s="39"/>
      <c r="U349" s="39"/>
      <c r="V349" s="39"/>
      <c r="W349" s="37" cm="1">
        <f t="array" ref="W349">CheckYellowFill(Table248[[#This Row],[MD
(m)]])</f>
        <v>0</v>
      </c>
      <c r="X349" s="39" cm="1">
        <f t="array" ref="X349">isfontcolorred(Table248[[#This Row],[MD
(m)]])</f>
        <v>1</v>
      </c>
      <c r="Y349" s="37">
        <v>1</v>
      </c>
      <c r="Z349" s="39"/>
      <c r="AA349" s="40" t="str">
        <f>IF(Table248[[#This Row],[Plug Depth
Plan
(m)]]=0,"",ABS(Table248[[#This Row],[Plug Depth
Plan
(m)]]-Table248[[#This Row],[MD
(m)]]))</f>
        <v/>
      </c>
      <c r="AB349" s="28">
        <v>10772</v>
      </c>
      <c r="AC349" s="71"/>
    </row>
    <row r="350" spans="1:29" ht="16" thickBot="1" x14ac:dyDescent="0.25">
      <c r="A350" s="54">
        <v>5318.8</v>
      </c>
      <c r="B350" s="20">
        <v>2783.7909097080787</v>
      </c>
      <c r="C350" s="3"/>
      <c r="D350" s="3"/>
      <c r="E350" s="8"/>
      <c r="F350" s="48"/>
      <c r="G350" s="48"/>
      <c r="H350" s="48"/>
      <c r="I350" s="48"/>
      <c r="J350" s="7"/>
      <c r="K350" s="3"/>
      <c r="L350" s="3"/>
      <c r="M350" s="3"/>
      <c r="N350" s="8"/>
      <c r="O350" s="50"/>
      <c r="P350" s="50"/>
      <c r="Q350" s="50"/>
      <c r="R350" s="50"/>
      <c r="S350" s="39"/>
      <c r="T350" s="39"/>
      <c r="U350" s="39"/>
      <c r="V350" s="39"/>
      <c r="W350" s="37" cm="1">
        <f t="array" ref="W350">CheckYellowFill(Table248[[#This Row],[MD
(m)]])</f>
        <v>0</v>
      </c>
      <c r="X350" s="39" cm="1">
        <f t="array" ref="X350">isfontcolorred(Table248[[#This Row],[MD
(m)]])</f>
        <v>1</v>
      </c>
      <c r="Y350" s="37">
        <f>IF(Table248[[#This Row],[Plug Depth
Plan
(m)]]&lt;&gt;0,1,0)</f>
        <v>0</v>
      </c>
      <c r="Z350" s="39"/>
      <c r="AA350" s="40" t="str">
        <f>IF(Table248[[#This Row],[Plug Depth
Plan
(m)]]=0,"",ABS(Table248[[#This Row],[Plug Depth
Plan
(m)]]-Table248[[#This Row],[MD
(m)]]))</f>
        <v/>
      </c>
      <c r="AB350" s="28">
        <v>10772</v>
      </c>
    </row>
    <row r="351" spans="1:29" ht="16" thickBot="1" x14ac:dyDescent="0.25">
      <c r="A351" s="3">
        <v>5318.84</v>
      </c>
      <c r="B351" s="9">
        <v>2783.79</v>
      </c>
      <c r="C351" s="3">
        <v>91.32</v>
      </c>
      <c r="D351" s="3">
        <v>353.07</v>
      </c>
      <c r="E351" s="8">
        <v>1.1599999999999999</v>
      </c>
      <c r="F351" s="69">
        <v>2654.75</v>
      </c>
      <c r="G351" s="69">
        <v>196.58</v>
      </c>
      <c r="H351" s="69">
        <v>0</v>
      </c>
      <c r="I351" s="69">
        <v>-1.1599999999999999</v>
      </c>
      <c r="J351" s="7">
        <v>5285.01</v>
      </c>
      <c r="K351" s="3">
        <v>2787.1</v>
      </c>
      <c r="L351" s="3">
        <v>89.777000000000001</v>
      </c>
      <c r="M351" s="3">
        <v>0.05</v>
      </c>
      <c r="N351" s="8">
        <v>0</v>
      </c>
      <c r="O351" s="50">
        <v>2612.6799999999998</v>
      </c>
      <c r="P351" s="50">
        <v>190.11</v>
      </c>
      <c r="Q351" s="50">
        <v>0</v>
      </c>
      <c r="R351" s="50">
        <v>0</v>
      </c>
      <c r="S351" s="39">
        <v>2787.99</v>
      </c>
      <c r="T351" s="39">
        <f>ABS(Table248[[#This Row],[mTVD
Lower
Marker]]-Table248[[#This Row],[TVD
(m)]])</f>
        <v>4.1999999999998181</v>
      </c>
      <c r="U351" s="39">
        <v>2777.99</v>
      </c>
      <c r="V351" s="39">
        <f>ABS(Table248[[#This Row],[mTVD
Upper
Marker]]-Table248[[#This Row],[TVD
(m)]])</f>
        <v>5.8000000000001819</v>
      </c>
      <c r="W351" s="37" cm="1">
        <f t="array" ref="W351">CheckYellowFill(Table248[[#This Row],[MD
(m)]])</f>
        <v>0</v>
      </c>
      <c r="X351" s="39" cm="1">
        <f t="array" ref="X351">isfontcolorred(Table248[[#This Row],[MD
(m)]])</f>
        <v>0</v>
      </c>
      <c r="Y351" s="37">
        <f>IF(Table248[[#This Row],[Plug Depth
Plan
(m)]]&lt;&gt;0,1,0)</f>
        <v>0</v>
      </c>
      <c r="Z351" s="39"/>
      <c r="AA351" s="40" t="str">
        <f>IF(Table248[[#This Row],[Plug Depth
Plan
(m)]]=0,"",ABS(Table248[[#This Row],[Plug Depth
Plan
(m)]]-Table248[[#This Row],[MD
(m)]]))</f>
        <v/>
      </c>
      <c r="AB351" s="28">
        <v>10772</v>
      </c>
    </row>
    <row r="352" spans="1:29" ht="16" thickBot="1" x14ac:dyDescent="0.25">
      <c r="A352" s="51">
        <v>5331.3</v>
      </c>
      <c r="B352" s="20">
        <v>2783.7267084321034</v>
      </c>
      <c r="C352" s="3"/>
      <c r="D352" s="3"/>
      <c r="E352" s="8"/>
      <c r="F352" s="48"/>
      <c r="G352" s="48"/>
      <c r="H352" s="48"/>
      <c r="I352" s="48"/>
      <c r="J352" s="7"/>
      <c r="K352" s="3"/>
      <c r="L352" s="3"/>
      <c r="M352" s="3"/>
      <c r="N352" s="8"/>
      <c r="O352" s="50"/>
      <c r="P352" s="50"/>
      <c r="Q352" s="50"/>
      <c r="R352" s="50"/>
      <c r="S352" s="39"/>
      <c r="T352" s="39"/>
      <c r="U352" s="39"/>
      <c r="V352" s="39"/>
      <c r="W352" s="37" cm="1">
        <f t="array" ref="W352">CheckYellowFill(Table248[[#This Row],[MD
(m)]])</f>
        <v>0</v>
      </c>
      <c r="X352" s="39" cm="1">
        <f t="array" ref="X352">isfontcolorred(Table248[[#This Row],[MD
(m)]])</f>
        <v>1</v>
      </c>
      <c r="Y352" s="37">
        <f>IF(Table248[[#This Row],[Plug Depth
Plan
(m)]]&lt;&gt;0,1,0)</f>
        <v>0</v>
      </c>
      <c r="Z352" s="39"/>
      <c r="AA352" s="40" t="str">
        <f>IF(Table248[[#This Row],[Plug Depth
Plan
(m)]]=0,"",ABS(Table248[[#This Row],[Plug Depth
Plan
(m)]]-Table248[[#This Row],[MD
(m)]]))</f>
        <v/>
      </c>
      <c r="AB352" s="28">
        <v>10772</v>
      </c>
    </row>
    <row r="353" spans="1:29" ht="16" thickBot="1" x14ac:dyDescent="0.25">
      <c r="A353" s="54">
        <v>5343.8</v>
      </c>
      <c r="B353" s="20">
        <v>2783.6632136810026</v>
      </c>
      <c r="C353" s="3"/>
      <c r="D353" s="3"/>
      <c r="E353" s="8"/>
      <c r="F353" s="48"/>
      <c r="G353" s="48"/>
      <c r="H353" s="48"/>
      <c r="I353" s="48"/>
      <c r="J353" s="7"/>
      <c r="K353" s="3"/>
      <c r="L353" s="3"/>
      <c r="M353" s="3"/>
      <c r="N353" s="8"/>
      <c r="O353" s="50"/>
      <c r="P353" s="50"/>
      <c r="Q353" s="50"/>
      <c r="R353" s="50"/>
      <c r="S353" s="39"/>
      <c r="T353" s="39"/>
      <c r="U353" s="39"/>
      <c r="V353" s="39"/>
      <c r="W353" s="37" cm="1">
        <f t="array" ref="W353">CheckYellowFill(Table248[[#This Row],[MD
(m)]])</f>
        <v>0</v>
      </c>
      <c r="X353" s="39" cm="1">
        <f t="array" ref="X353">isfontcolorred(Table248[[#This Row],[MD
(m)]])</f>
        <v>1</v>
      </c>
      <c r="Y353" s="37">
        <f>IF(Table248[[#This Row],[Plug Depth
Plan
(m)]]&lt;&gt;0,1,0)</f>
        <v>0</v>
      </c>
      <c r="Z353" s="39"/>
      <c r="AA353" s="40" t="str">
        <f>IF(Table248[[#This Row],[Plug Depth
Plan
(m)]]=0,"",ABS(Table248[[#This Row],[Plug Depth
Plan
(m)]]-Table248[[#This Row],[MD
(m)]]))</f>
        <v/>
      </c>
      <c r="AB353" s="28">
        <v>10772</v>
      </c>
    </row>
    <row r="354" spans="1:29" ht="16" thickBot="1" x14ac:dyDescent="0.25">
      <c r="A354" s="22">
        <v>5348.37</v>
      </c>
      <c r="B354" s="9">
        <v>2783.64</v>
      </c>
      <c r="C354" s="3">
        <v>89.23</v>
      </c>
      <c r="D354" s="3">
        <v>350.33</v>
      </c>
      <c r="E354" s="8">
        <v>3.5</v>
      </c>
      <c r="F354" s="69">
        <v>2683.97</v>
      </c>
      <c r="G354" s="69">
        <v>192.32</v>
      </c>
      <c r="H354" s="69">
        <v>-2.12</v>
      </c>
      <c r="I354" s="69">
        <v>-2.78</v>
      </c>
      <c r="J354" s="7">
        <v>5315.01</v>
      </c>
      <c r="K354" s="3">
        <v>2787.21</v>
      </c>
      <c r="L354" s="3">
        <v>89.777000000000001</v>
      </c>
      <c r="M354" s="3">
        <v>0.05</v>
      </c>
      <c r="N354" s="8">
        <v>0</v>
      </c>
      <c r="O354" s="50">
        <v>2642.68</v>
      </c>
      <c r="P354" s="50">
        <v>190.14</v>
      </c>
      <c r="Q354" s="50">
        <v>0</v>
      </c>
      <c r="R354" s="50">
        <v>0</v>
      </c>
      <c r="S354" s="39">
        <v>2787.88</v>
      </c>
      <c r="T354" s="39">
        <f>ABS(Table248[[#This Row],[mTVD
Lower
Marker]]-Table248[[#This Row],[TVD
(m)]])</f>
        <v>4.2400000000002365</v>
      </c>
      <c r="U354" s="39">
        <v>2777.88</v>
      </c>
      <c r="V354" s="39">
        <f>ABS(Table248[[#This Row],[mTVD
Upper
Marker]]-Table248[[#This Row],[TVD
(m)]])</f>
        <v>5.7599999999997635</v>
      </c>
      <c r="W354" s="37" cm="1">
        <f t="array" ref="W354">CheckYellowFill(Table248[[#This Row],[MD
(m)]])</f>
        <v>0</v>
      </c>
      <c r="X354" s="39" cm="1">
        <f t="array" ref="X354">isfontcolorred(Table248[[#This Row],[MD
(m)]])</f>
        <v>0</v>
      </c>
      <c r="Y354" s="37">
        <f>IF(Table248[[#This Row],[Plug Depth
Plan
(m)]]&lt;&gt;0,1,0)</f>
        <v>0</v>
      </c>
      <c r="Z354" s="39"/>
      <c r="AA354" s="40" t="str">
        <f>IF(Table248[[#This Row],[Plug Depth
Plan
(m)]]=0,"",ABS(Table248[[#This Row],[Plug Depth
Plan
(m)]]-Table248[[#This Row],[MD
(m)]]))</f>
        <v/>
      </c>
      <c r="AB354" s="28">
        <v>10772</v>
      </c>
    </row>
    <row r="355" spans="1:29" ht="16" thickBot="1" x14ac:dyDescent="0.25">
      <c r="A355" s="51">
        <v>5356.3</v>
      </c>
      <c r="B355" s="20">
        <v>2783.7265484311051</v>
      </c>
      <c r="C355" s="3"/>
      <c r="D355" s="3"/>
      <c r="E355" s="8"/>
      <c r="F355" s="48"/>
      <c r="G355" s="48"/>
      <c r="H355" s="48"/>
      <c r="I355" s="48"/>
      <c r="J355" s="7"/>
      <c r="K355" s="3"/>
      <c r="L355" s="3"/>
      <c r="M355" s="3"/>
      <c r="N355" s="8"/>
      <c r="O355" s="50"/>
      <c r="P355" s="50"/>
      <c r="Q355" s="50"/>
      <c r="R355" s="50"/>
      <c r="S355" s="39"/>
      <c r="T355" s="39"/>
      <c r="U355" s="39"/>
      <c r="V355" s="39"/>
      <c r="W355" s="37" cm="1">
        <f t="array" ref="W355">CheckYellowFill(Table248[[#This Row],[MD
(m)]])</f>
        <v>0</v>
      </c>
      <c r="X355" s="39" cm="1">
        <f t="array" ref="X355">isfontcolorred(Table248[[#This Row],[MD
(m)]])</f>
        <v>1</v>
      </c>
      <c r="Y355" s="37">
        <f>IF(Table248[[#This Row],[Plug Depth
Plan
(m)]]&lt;&gt;0,1,0)</f>
        <v>0</v>
      </c>
      <c r="Z355" s="39"/>
      <c r="AA355" s="40" t="str">
        <f>IF(Table248[[#This Row],[Plug Depth
Plan
(m)]]=0,"",ABS(Table248[[#This Row],[Plug Depth
Plan
(m)]]-Table248[[#This Row],[MD
(m)]]))</f>
        <v/>
      </c>
      <c r="AB355" s="28">
        <v>10772</v>
      </c>
    </row>
    <row r="356" spans="1:29" ht="16" thickBot="1" x14ac:dyDescent="0.25">
      <c r="A356" s="22">
        <v>5377.69</v>
      </c>
      <c r="B356" s="9">
        <v>2783.96</v>
      </c>
      <c r="C356" s="3">
        <v>89.54</v>
      </c>
      <c r="D356" s="3">
        <v>348.3</v>
      </c>
      <c r="E356" s="8">
        <v>2.1</v>
      </c>
      <c r="F356" s="69">
        <v>2712.78</v>
      </c>
      <c r="G356" s="69">
        <v>186.88</v>
      </c>
      <c r="H356" s="69">
        <v>0.32</v>
      </c>
      <c r="I356" s="69">
        <v>-2.08</v>
      </c>
      <c r="J356" s="7">
        <v>5345.01</v>
      </c>
      <c r="K356" s="3">
        <v>2787.33</v>
      </c>
      <c r="L356" s="3">
        <v>89.777000000000001</v>
      </c>
      <c r="M356" s="3">
        <v>0.05</v>
      </c>
      <c r="N356" s="8">
        <v>0</v>
      </c>
      <c r="O356" s="50">
        <v>2672.68</v>
      </c>
      <c r="P356" s="50">
        <v>190.16</v>
      </c>
      <c r="Q356" s="50">
        <v>0</v>
      </c>
      <c r="R356" s="50">
        <v>0</v>
      </c>
      <c r="S356" s="39">
        <v>2788.08</v>
      </c>
      <c r="T356" s="39">
        <f>ABS(Table248[[#This Row],[mTVD
Lower
Marker]]-Table248[[#This Row],[TVD
(m)]])</f>
        <v>4.1199999999998909</v>
      </c>
      <c r="U356" s="39">
        <v>2778.08</v>
      </c>
      <c r="V356" s="39">
        <f>ABS(Table248[[#This Row],[mTVD
Upper
Marker]]-Table248[[#This Row],[TVD
(m)]])</f>
        <v>5.8800000000001091</v>
      </c>
      <c r="W356" s="37" cm="1">
        <f t="array" ref="W356">CheckYellowFill(Table248[[#This Row],[MD
(m)]])</f>
        <v>0</v>
      </c>
      <c r="X356" s="39" cm="1">
        <f t="array" ref="X356">isfontcolorred(Table248[[#This Row],[MD
(m)]])</f>
        <v>0</v>
      </c>
      <c r="Y356" s="37">
        <f>IF(Table248[[#This Row],[Plug Depth
Plan
(m)]]&lt;&gt;0,1,0)</f>
        <v>0</v>
      </c>
      <c r="Z356" s="39"/>
      <c r="AA356" s="40" t="str">
        <f>IF(Table248[[#This Row],[Plug Depth
Plan
(m)]]=0,"",ABS(Table248[[#This Row],[Plug Depth
Plan
(m)]]-Table248[[#This Row],[MD
(m)]]))</f>
        <v/>
      </c>
    </row>
    <row r="357" spans="1:29" ht="16" thickBot="1" x14ac:dyDescent="0.25">
      <c r="A357" s="3">
        <v>5406.98</v>
      </c>
      <c r="B357" s="9">
        <v>2784.09</v>
      </c>
      <c r="C357" s="3">
        <v>89.94</v>
      </c>
      <c r="D357" s="3">
        <v>348.6</v>
      </c>
      <c r="E357" s="8">
        <v>0.51</v>
      </c>
      <c r="F357" s="69">
        <v>2741.47</v>
      </c>
      <c r="G357" s="69">
        <v>181.02</v>
      </c>
      <c r="H357" s="69">
        <v>0.41</v>
      </c>
      <c r="I357" s="69">
        <v>0.31</v>
      </c>
      <c r="J357" s="7">
        <v>5375.01</v>
      </c>
      <c r="K357" s="3">
        <v>2787.45</v>
      </c>
      <c r="L357" s="3">
        <v>89.777000000000001</v>
      </c>
      <c r="M357" s="3">
        <v>0.05</v>
      </c>
      <c r="N357" s="8">
        <v>0</v>
      </c>
      <c r="O357" s="50">
        <v>2702.68</v>
      </c>
      <c r="P357" s="50">
        <v>190.19</v>
      </c>
      <c r="Q357" s="50">
        <v>0</v>
      </c>
      <c r="R357" s="50">
        <v>0</v>
      </c>
      <c r="S357" s="39">
        <v>2788.28</v>
      </c>
      <c r="T357" s="39">
        <f>ABS(Table248[[#This Row],[mTVD
Lower
Marker]]-Table248[[#This Row],[TVD
(m)]])</f>
        <v>4.1900000000000546</v>
      </c>
      <c r="U357" s="39">
        <v>2778.28</v>
      </c>
      <c r="V357" s="39">
        <f>ABS(Table248[[#This Row],[mTVD
Upper
Marker]]-Table248[[#This Row],[TVD
(m)]])</f>
        <v>5.8099999999999454</v>
      </c>
      <c r="W357" s="37" cm="1">
        <f t="array" ref="W357">CheckYellowFill(Table248[[#This Row],[MD
(m)]])</f>
        <v>0</v>
      </c>
      <c r="X357" s="39" cm="1">
        <f t="array" ref="X357">isfontcolorred(Table248[[#This Row],[MD
(m)]])</f>
        <v>0</v>
      </c>
      <c r="Y357" s="37">
        <f>IF(Table248[[#This Row],[Plug Depth
Plan
(m)]]&lt;&gt;0,1,0)</f>
        <v>0</v>
      </c>
      <c r="Z357" s="39"/>
      <c r="AA357" s="40" t="str">
        <f>IF(Table248[[#This Row],[Plug Depth
Plan
(m)]]=0,"",ABS(Table248[[#This Row],[Plug Depth
Plan
(m)]]-Table248[[#This Row],[MD
(m)]]))</f>
        <v/>
      </c>
    </row>
    <row r="358" spans="1:29" ht="16" thickBot="1" x14ac:dyDescent="0.25">
      <c r="A358" s="51">
        <v>5428</v>
      </c>
      <c r="B358" s="20">
        <v>2784.0827691778468</v>
      </c>
      <c r="C358" s="3"/>
      <c r="D358" s="3"/>
      <c r="E358" s="8"/>
      <c r="F358" s="48"/>
      <c r="G358" s="48"/>
      <c r="H358" s="48"/>
      <c r="I358" s="48"/>
      <c r="J358" s="7"/>
      <c r="K358" s="3"/>
      <c r="L358" s="3"/>
      <c r="M358" s="3"/>
      <c r="N358" s="8"/>
      <c r="O358" s="50"/>
      <c r="P358" s="50"/>
      <c r="Q358" s="50"/>
      <c r="R358" s="50"/>
      <c r="S358" s="39"/>
      <c r="T358" s="39"/>
      <c r="U358" s="39"/>
      <c r="V358" s="39"/>
      <c r="W358" s="37" cm="1">
        <f t="array" ref="W358">CheckYellowFill(Table248[[#This Row],[MD
(m)]])</f>
        <v>0</v>
      </c>
      <c r="X358" s="39" cm="1">
        <f t="array" ref="X358">isfontcolorred(Table248[[#This Row],[MD
(m)]])</f>
        <v>1</v>
      </c>
      <c r="Y358" s="37">
        <f>IF(Table248[[#This Row],[Plug Depth
Plan
(m)]]&lt;&gt;0,1,0)</f>
        <v>0</v>
      </c>
      <c r="Z358" s="39"/>
      <c r="AA358" s="40" t="str">
        <f>IF(Table248[[#This Row],[Plug Depth
Plan
(m)]]=0,"",ABS(Table248[[#This Row],[Plug Depth
Plan
(m)]]-Table248[[#This Row],[MD
(m)]]))</f>
        <v/>
      </c>
    </row>
    <row r="359" spans="1:29" ht="16" thickBot="1" x14ac:dyDescent="0.25">
      <c r="A359" s="22">
        <v>5436.05</v>
      </c>
      <c r="B359" s="9">
        <v>2784.08</v>
      </c>
      <c r="C359" s="3">
        <v>90.12</v>
      </c>
      <c r="D359" s="3">
        <v>349.96</v>
      </c>
      <c r="E359" s="8">
        <v>1.42</v>
      </c>
      <c r="F359" s="69">
        <v>2770.03</v>
      </c>
      <c r="G359" s="69">
        <v>175.61</v>
      </c>
      <c r="H359" s="69">
        <v>0.19</v>
      </c>
      <c r="I359" s="69">
        <v>1.4</v>
      </c>
      <c r="J359" s="7">
        <v>5405.01</v>
      </c>
      <c r="K359" s="3">
        <v>2787.56</v>
      </c>
      <c r="L359" s="3">
        <v>89.777000000000001</v>
      </c>
      <c r="M359" s="3">
        <v>0.05</v>
      </c>
      <c r="N359" s="8">
        <v>0</v>
      </c>
      <c r="O359" s="50">
        <v>2732.68</v>
      </c>
      <c r="P359" s="50">
        <v>190.21</v>
      </c>
      <c r="Q359" s="50">
        <v>0</v>
      </c>
      <c r="R359" s="50">
        <v>0</v>
      </c>
      <c r="S359" s="39">
        <v>2788.49</v>
      </c>
      <c r="T359" s="39">
        <f>ABS(Table248[[#This Row],[mTVD
Lower
Marker]]-Table248[[#This Row],[TVD
(m)]])</f>
        <v>4.4099999999998545</v>
      </c>
      <c r="U359" s="39">
        <v>2778.49</v>
      </c>
      <c r="V359" s="39">
        <f>ABS(Table248[[#This Row],[mTVD
Upper
Marker]]-Table248[[#This Row],[TVD
(m)]])</f>
        <v>5.5900000000001455</v>
      </c>
      <c r="W359" s="37" cm="1">
        <f t="array" ref="W359">CheckYellowFill(Table248[[#This Row],[MD
(m)]])</f>
        <v>0</v>
      </c>
      <c r="X359" s="39" cm="1">
        <f t="array" ref="X359">isfontcolorred(Table248[[#This Row],[MD
(m)]])</f>
        <v>0</v>
      </c>
      <c r="Y359" s="37">
        <f>IF(Table248[[#This Row],[Plug Depth
Plan
(m)]]&lt;&gt;0,1,0)</f>
        <v>0</v>
      </c>
      <c r="Z359" s="39"/>
      <c r="AA359" s="40" t="str">
        <f>IF(Table248[[#This Row],[Plug Depth
Plan
(m)]]=0,"",ABS(Table248[[#This Row],[Plug Depth
Plan
(m)]]-Table248[[#This Row],[MD
(m)]]))</f>
        <v/>
      </c>
    </row>
    <row r="360" spans="1:29" ht="16" thickBot="1" x14ac:dyDescent="0.25">
      <c r="A360" s="51">
        <v>5438.8</v>
      </c>
      <c r="B360" s="20">
        <v>2784.0809482758623</v>
      </c>
      <c r="C360" s="3"/>
      <c r="D360" s="3"/>
      <c r="E360" s="8"/>
      <c r="F360" s="48"/>
      <c r="G360" s="48"/>
      <c r="H360" s="48"/>
      <c r="I360" s="48"/>
      <c r="J360" s="7"/>
      <c r="K360" s="3"/>
      <c r="L360" s="3"/>
      <c r="M360" s="3"/>
      <c r="N360" s="8"/>
      <c r="O360" s="50"/>
      <c r="P360" s="50"/>
      <c r="Q360" s="50"/>
      <c r="R360" s="50"/>
      <c r="S360" s="39"/>
      <c r="T360" s="39"/>
      <c r="U360" s="39"/>
      <c r="V360" s="39"/>
      <c r="W360" s="37" cm="1">
        <f t="array" ref="W360">CheckYellowFill(Table248[[#This Row],[MD
(m)]])</f>
        <v>0</v>
      </c>
      <c r="X360" s="39" cm="1">
        <f t="array" ref="X360">isfontcolorred(Table248[[#This Row],[MD
(m)]])</f>
        <v>1</v>
      </c>
      <c r="Y360" s="37">
        <f>IF(Table248[[#This Row],[Plug Depth
Plan
(m)]]&lt;&gt;0,1,0)</f>
        <v>0</v>
      </c>
      <c r="Z360" s="39"/>
      <c r="AA360" s="40" t="str">
        <f>IF(Table248[[#This Row],[Plug Depth
Plan
(m)]]=0,"",ABS(Table248[[#This Row],[Plug Depth
Plan
(m)]]-Table248[[#This Row],[MD
(m)]]))</f>
        <v/>
      </c>
    </row>
    <row r="361" spans="1:29" ht="16" thickBot="1" x14ac:dyDescent="0.25">
      <c r="A361" s="22">
        <v>5465.05</v>
      </c>
      <c r="B361" s="9">
        <v>2784.09</v>
      </c>
      <c r="C361" s="3">
        <v>89.82</v>
      </c>
      <c r="D361" s="3">
        <v>349.4</v>
      </c>
      <c r="E361" s="8">
        <v>0.66</v>
      </c>
      <c r="F361" s="69">
        <v>2798.56</v>
      </c>
      <c r="G361" s="69">
        <v>170.42</v>
      </c>
      <c r="H361" s="69">
        <v>-0.31</v>
      </c>
      <c r="I361" s="69">
        <v>-0.57999999999999996</v>
      </c>
      <c r="J361" s="7">
        <v>5435.01</v>
      </c>
      <c r="K361" s="3">
        <v>2787.68</v>
      </c>
      <c r="L361" s="3">
        <v>89.777000000000001</v>
      </c>
      <c r="M361" s="3">
        <v>0.05</v>
      </c>
      <c r="N361" s="8">
        <v>0</v>
      </c>
      <c r="O361" s="50">
        <v>2762.68</v>
      </c>
      <c r="P361" s="50">
        <v>190.24</v>
      </c>
      <c r="Q361" s="50">
        <v>0</v>
      </c>
      <c r="R361" s="50">
        <v>0</v>
      </c>
      <c r="S361" s="39">
        <v>2788.69</v>
      </c>
      <c r="T361" s="39">
        <f>ABS(Table248[[#This Row],[mTVD
Lower
Marker]]-Table248[[#This Row],[TVD
(m)]])</f>
        <v>4.5999999999999091</v>
      </c>
      <c r="U361" s="39">
        <v>2778.69</v>
      </c>
      <c r="V361" s="39">
        <f>ABS(Table248[[#This Row],[mTVD
Upper
Marker]]-Table248[[#This Row],[TVD
(m)]])</f>
        <v>5.4000000000000909</v>
      </c>
      <c r="W361" s="37" cm="1">
        <f t="array" ref="W361">CheckYellowFill(Table248[[#This Row],[MD
(m)]])</f>
        <v>0</v>
      </c>
      <c r="X361" s="39" cm="1">
        <f t="array" ref="X361">isfontcolorred(Table248[[#This Row],[MD
(m)]])</f>
        <v>0</v>
      </c>
      <c r="Y361" s="37">
        <f>IF(Table248[[#This Row],[Plug Depth
Plan
(m)]]&lt;&gt;0,1,0)</f>
        <v>0</v>
      </c>
      <c r="Z361" s="39"/>
      <c r="AA361" s="40" t="str">
        <f>IF(Table248[[#This Row],[Plug Depth
Plan
(m)]]=0,"",ABS(Table248[[#This Row],[Plug Depth
Plan
(m)]]-Table248[[#This Row],[MD
(m)]]))</f>
        <v/>
      </c>
    </row>
    <row r="362" spans="1:29" ht="16" thickBot="1" x14ac:dyDescent="0.25">
      <c r="A362" s="3">
        <v>5493.82</v>
      </c>
      <c r="B362" s="9">
        <v>2784.17</v>
      </c>
      <c r="C362" s="3">
        <v>89.88</v>
      </c>
      <c r="D362" s="3">
        <v>346.24</v>
      </c>
      <c r="E362" s="8">
        <v>3.3</v>
      </c>
      <c r="F362" s="69">
        <v>2826.68</v>
      </c>
      <c r="G362" s="69">
        <v>164.35</v>
      </c>
      <c r="H362" s="69">
        <v>0.06</v>
      </c>
      <c r="I362" s="69">
        <v>-3.3</v>
      </c>
      <c r="J362" s="7">
        <v>5465.01</v>
      </c>
      <c r="K362" s="3">
        <v>2787.8</v>
      </c>
      <c r="L362" s="3">
        <v>89.777000000000001</v>
      </c>
      <c r="M362" s="3">
        <v>0.05</v>
      </c>
      <c r="N362" s="8">
        <v>0</v>
      </c>
      <c r="O362" s="50">
        <v>2792.68</v>
      </c>
      <c r="P362" s="50">
        <v>190.27</v>
      </c>
      <c r="Q362" s="50">
        <v>0</v>
      </c>
      <c r="R362" s="50">
        <v>0</v>
      </c>
      <c r="S362" s="39">
        <v>2788.89</v>
      </c>
      <c r="T362" s="39">
        <f>ABS(Table248[[#This Row],[mTVD
Lower
Marker]]-Table248[[#This Row],[TVD
(m)]])</f>
        <v>4.7199999999997999</v>
      </c>
      <c r="U362" s="39">
        <v>2778.89</v>
      </c>
      <c r="V362" s="39">
        <f>ABS(Table248[[#This Row],[mTVD
Upper
Marker]]-Table248[[#This Row],[TVD
(m)]])</f>
        <v>5.2800000000002001</v>
      </c>
      <c r="W362" s="37" cm="1">
        <f t="array" ref="W362">CheckYellowFill(Table248[[#This Row],[MD
(m)]])</f>
        <v>0</v>
      </c>
      <c r="X362" s="39" cm="1">
        <f t="array" ref="X362">isfontcolorred(Table248[[#This Row],[MD
(m)]])</f>
        <v>0</v>
      </c>
      <c r="Y362" s="37">
        <f>IF(Table248[[#This Row],[Plug Depth
Plan
(m)]]&lt;&gt;0,1,0)</f>
        <v>0</v>
      </c>
      <c r="Z362" s="39"/>
      <c r="AA362" s="40" t="str">
        <f>IF(Table248[[#This Row],[Plug Depth
Plan
(m)]]=0,"",ABS(Table248[[#This Row],[Plug Depth
Plan
(m)]]-Table248[[#This Row],[MD
(m)]]))</f>
        <v/>
      </c>
    </row>
    <row r="363" spans="1:29" ht="16" thickBot="1" x14ac:dyDescent="0.25">
      <c r="A363" s="22">
        <v>5501.88</v>
      </c>
      <c r="B363" s="9">
        <v>2784.16</v>
      </c>
      <c r="C363" s="3">
        <v>90.25</v>
      </c>
      <c r="D363" s="3">
        <v>346.94</v>
      </c>
      <c r="E363" s="8">
        <v>2.95</v>
      </c>
      <c r="F363" s="69">
        <v>2834.52</v>
      </c>
      <c r="G363" s="69">
        <v>162.47999999999999</v>
      </c>
      <c r="H363" s="69">
        <v>1.38</v>
      </c>
      <c r="I363" s="69">
        <v>2.61</v>
      </c>
      <c r="J363" s="7">
        <v>5495.01</v>
      </c>
      <c r="K363" s="3">
        <v>2787.91</v>
      </c>
      <c r="L363" s="3">
        <v>89.777000000000001</v>
      </c>
      <c r="M363" s="3">
        <v>0.05</v>
      </c>
      <c r="N363" s="8">
        <v>0</v>
      </c>
      <c r="O363" s="50">
        <v>2822.68</v>
      </c>
      <c r="P363" s="50">
        <v>190.29</v>
      </c>
      <c r="Q363" s="50">
        <v>0</v>
      </c>
      <c r="R363" s="50">
        <v>0</v>
      </c>
      <c r="S363" s="39">
        <v>2788.94</v>
      </c>
      <c r="T363" s="39">
        <f>ABS(Table248[[#This Row],[mTVD
Lower
Marker]]-Table248[[#This Row],[TVD
(m)]])</f>
        <v>4.7800000000002001</v>
      </c>
      <c r="U363" s="39">
        <v>2778.94</v>
      </c>
      <c r="V363" s="39">
        <f>ABS(Table248[[#This Row],[mTVD
Upper
Marker]]-Table248[[#This Row],[TVD
(m)]])</f>
        <v>5.2199999999997999</v>
      </c>
      <c r="W363" s="37" cm="1">
        <f t="array" ref="W363">CheckYellowFill(Table248[[#This Row],[MD
(m)]])</f>
        <v>0</v>
      </c>
      <c r="X363" s="39" cm="1">
        <f t="array" ref="X363">isfontcolorred(Table248[[#This Row],[MD
(m)]])</f>
        <v>0</v>
      </c>
      <c r="Y363" s="37">
        <f>IF(Table248[[#This Row],[Plug Depth
Plan
(m)]]&lt;&gt;0,1,0)</f>
        <v>0</v>
      </c>
      <c r="Z363" s="39"/>
      <c r="AA363" s="40" t="str">
        <f>IF(Table248[[#This Row],[Plug Depth
Plan
(m)]]=0,"",ABS(Table248[[#This Row],[Plug Depth
Plan
(m)]]-Table248[[#This Row],[MD
(m)]]))</f>
        <v/>
      </c>
    </row>
    <row r="364" spans="1:29" ht="16" thickBot="1" x14ac:dyDescent="0.25">
      <c r="A364" s="51"/>
      <c r="B364" s="20"/>
      <c r="C364" s="3"/>
      <c r="D364" s="3"/>
      <c r="E364" s="8"/>
      <c r="F364" s="48"/>
      <c r="G364" s="48"/>
      <c r="H364" s="48"/>
      <c r="I364" s="48"/>
      <c r="J364" s="7"/>
      <c r="K364" s="3"/>
      <c r="L364" s="3"/>
      <c r="M364" s="3"/>
      <c r="N364" s="8"/>
      <c r="O364" s="50"/>
      <c r="P364" s="50"/>
      <c r="Q364" s="50"/>
      <c r="R364" s="50"/>
      <c r="S364" s="39"/>
      <c r="T364" s="39"/>
      <c r="U364" s="39"/>
      <c r="V364" s="39"/>
      <c r="W364" s="37" cm="1">
        <f t="array" ref="W364">CheckYellowFill(Table248[[#This Row],[MD
(m)]])</f>
        <v>0</v>
      </c>
      <c r="X364" s="39" cm="1">
        <f t="array" ref="X364">isfontcolorred(Table248[[#This Row],[MD
(m)]])</f>
        <v>1</v>
      </c>
      <c r="Y364" s="37">
        <f>IF(Table248[[#This Row],[Plug Depth
Plan
(m)]]&lt;&gt;0,1,0)</f>
        <v>0</v>
      </c>
      <c r="Z364" s="39"/>
      <c r="AA364" s="40" t="str">
        <f>IF(Table248[[#This Row],[Plug Depth
Plan
(m)]]=0,"",ABS(Table248[[#This Row],[Plug Depth
Plan
(m)]]-Table248[[#This Row],[MD
(m)]]))</f>
        <v/>
      </c>
    </row>
    <row r="365" spans="1:29" x14ac:dyDescent="0.2">
      <c r="A365" s="52"/>
      <c r="B365" s="21"/>
      <c r="C365" s="3"/>
      <c r="D365" s="3"/>
      <c r="E365" s="8"/>
      <c r="F365" s="48"/>
      <c r="G365" s="48"/>
      <c r="H365" s="48"/>
      <c r="I365" s="48"/>
      <c r="J365" s="7"/>
      <c r="K365" s="3"/>
      <c r="L365" s="3"/>
      <c r="M365" s="3"/>
      <c r="N365" s="8"/>
      <c r="O365" s="50"/>
      <c r="P365" s="50"/>
      <c r="Q365" s="50"/>
      <c r="R365" s="50"/>
      <c r="S365" s="39"/>
      <c r="T365" s="39"/>
      <c r="U365" s="39"/>
      <c r="V365" s="39"/>
      <c r="W365" s="39" cm="1">
        <f t="array" ref="W365">CheckYellowFill(Table248[[#This Row],[MD
(m)]])</f>
        <v>0</v>
      </c>
      <c r="X365" s="39" cm="1">
        <f t="array" ref="X365">isfontcolorred(Table248[[#This Row],[MD
(m)]])</f>
        <v>1</v>
      </c>
      <c r="Y365" s="37">
        <f>IF(Table248[[#This Row],[Plug Depth
Plan
(m)]]&lt;&gt;0,1,0)</f>
        <v>0</v>
      </c>
      <c r="Z365" s="39"/>
      <c r="AA365" s="40" t="str">
        <f>IF(Table248[[#This Row],[Plug Depth
Plan
(m)]]=0,"",ABS(Table248[[#This Row],[Plug Depth
Plan
(m)]]-Table248[[#This Row],[MD
(m)]]))</f>
        <v/>
      </c>
    </row>
    <row r="366" spans="1:29" x14ac:dyDescent="0.2">
      <c r="A366" s="43"/>
      <c r="B366" s="43"/>
      <c r="C366" s="43"/>
      <c r="D366" s="43"/>
      <c r="E366" s="44"/>
      <c r="F366" s="44"/>
      <c r="G366" s="44"/>
      <c r="H366" s="44"/>
      <c r="I366" s="44"/>
      <c r="J366" s="45"/>
      <c r="K366" s="43"/>
      <c r="L366" s="43"/>
      <c r="M366" s="43"/>
      <c r="N366" s="44"/>
      <c r="O366" s="44"/>
      <c r="P366" s="44"/>
      <c r="Q366" s="44"/>
      <c r="R366" s="44"/>
      <c r="S366" s="46"/>
      <c r="T366" s="46"/>
      <c r="U366" s="46"/>
      <c r="V366" s="46"/>
      <c r="W366" s="46"/>
      <c r="X366" s="46"/>
      <c r="Y366" s="46"/>
      <c r="Z366" s="46"/>
      <c r="AA366" s="47"/>
      <c r="AB366" s="70"/>
      <c r="AC366" s="70"/>
    </row>
  </sheetData>
  <phoneticPr fontId="8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7C7EC-D754-D94E-A79F-DEF3322CB11B}">
  <sheetPr codeName="Sheet2">
    <tabColor rgb="FFFFC000"/>
  </sheetPr>
  <dimension ref="B2:E171"/>
  <sheetViews>
    <sheetView topLeftCell="A135" zoomScale="130" zoomScaleNormal="130" workbookViewId="0">
      <selection activeCell="B28" sqref="B28"/>
    </sheetView>
  </sheetViews>
  <sheetFormatPr baseColWidth="10" defaultColWidth="11.1640625" defaultRowHeight="16" x14ac:dyDescent="0.2"/>
  <cols>
    <col min="2" max="2" width="11.1640625" style="23"/>
    <col min="3" max="3" width="9.6640625" style="23" customWidth="1"/>
    <col min="4" max="5" width="11.1640625" style="23"/>
  </cols>
  <sheetData>
    <row r="2" spans="2:5" ht="19" x14ac:dyDescent="0.25">
      <c r="B2" s="27" t="s">
        <v>20</v>
      </c>
    </row>
    <row r="4" spans="2:5" ht="19" x14ac:dyDescent="0.25">
      <c r="B4" s="24" t="s">
        <v>0</v>
      </c>
      <c r="C4" s="24" t="s">
        <v>1</v>
      </c>
      <c r="D4" s="24" t="s">
        <v>18</v>
      </c>
      <c r="E4" s="24" t="s">
        <v>19</v>
      </c>
    </row>
    <row r="5" spans="2:5" x14ac:dyDescent="0.2">
      <c r="B5" s="10">
        <v>2885.2</v>
      </c>
      <c r="C5" s="25">
        <f>FORECAST(B5,INDEX(Table3[TVD (m)],MATCH(D5,Table3[MD (m)],0)):INDEX(Table3[TVD (m)],MATCH(E5,Table3[MD (m)],0)),INDEX(Table3[MD (m)],MATCH(D5,Table3[MD (m)],0)):INDEX(Table3[MD (m)],MATCH(E5,Table3[MD (m)],0)))</f>
        <v>2764.9597529169528</v>
      </c>
      <c r="D5" s="23" cm="1">
        <f t="array" ref="D5">MAX(IF(Table3[MD (m)]&lt;=B5,Table3[MD (m)]))</f>
        <v>2880.74</v>
      </c>
      <c r="E5" s="23" cm="1">
        <f t="array" ref="E5">MIN(IF(Table3[MD (m)]&gt;=B5,Table3[MD (m)]))</f>
        <v>2909.88</v>
      </c>
    </row>
    <row r="6" spans="2:5" x14ac:dyDescent="0.2">
      <c r="B6" s="10">
        <v>2897.7</v>
      </c>
      <c r="C6" s="25">
        <f>FORECAST(B6,INDEX(Table3[TVD (m)],MATCH(D6,Table3[MD (m)],0)):INDEX(Table3[TVD (m)],MATCH(E6,Table3[MD (m)],0)),INDEX(Table3[MD (m)],MATCH(D6,Table3[MD (m)],0)):INDEX(Table3[MD (m)],MATCH(E6,Table3[MD (m)],0)))</f>
        <v>2767.5935895676048</v>
      </c>
      <c r="D6" s="23" cm="1">
        <f t="array" ref="D6">MAX(IF(Table3[MD (m)]&lt;=B6,Table3[MD (m)]))</f>
        <v>2880.74</v>
      </c>
      <c r="E6" s="23" cm="1">
        <f t="array" ref="E6">MIN(IF(Table3[MD (m)]&gt;=B6,Table3[MD (m)]))</f>
        <v>2909.88</v>
      </c>
    </row>
    <row r="7" spans="2:5" x14ac:dyDescent="0.2">
      <c r="B7" s="10">
        <v>2910.2</v>
      </c>
      <c r="C7" s="25">
        <f>FORECAST(B7,INDEX(Table3[TVD (m)],MATCH(D7,Table3[MD (m)],0)):INDEX(Table3[TVD (m)],MATCH(E7,Table3[MD (m)],0)),INDEX(Table3[MD (m)],MATCH(D7,Table3[MD (m)],0)):INDEX(Table3[MD (m)],MATCH(E7,Table3[MD (m)],0)))</f>
        <v>2770.1903192584964</v>
      </c>
      <c r="D7" s="23" cm="1">
        <f t="array" ref="D7">MAX(IF(Table3[MD (m)]&lt;=B7,Table3[MD (m)]))</f>
        <v>2909.88</v>
      </c>
      <c r="E7" s="23" cm="1">
        <f t="array" ref="E7">MIN(IF(Table3[MD (m)]&gt;=B7,Table3[MD (m)]))</f>
        <v>2939.01</v>
      </c>
    </row>
    <row r="8" spans="2:5" x14ac:dyDescent="0.2">
      <c r="B8" s="10">
        <v>2922.7</v>
      </c>
      <c r="C8" s="25">
        <f>FORECAST(B8,INDEX(Table3[TVD (m)],MATCH(D8,Table3[MD (m)],0)):INDEX(Table3[TVD (m)],MATCH(E8,Table3[MD (m)],0)),INDEX(Table3[MD (m)],MATCH(D8,Table3[MD (m)],0)):INDEX(Table3[MD (m)],MATCH(E8,Table3[MD (m)],0)))</f>
        <v>2771.374665293512</v>
      </c>
      <c r="D8" s="23" cm="1">
        <f t="array" ref="D8">MAX(IF(Table3[MD (m)]&lt;=B8,Table3[MD (m)]))</f>
        <v>2909.88</v>
      </c>
      <c r="E8" s="23" cm="1">
        <f t="array" ref="E8">MIN(IF(Table3[MD (m)]&gt;=B8,Table3[MD (m)]))</f>
        <v>2939.01</v>
      </c>
    </row>
    <row r="9" spans="2:5" x14ac:dyDescent="0.2">
      <c r="B9" s="14">
        <v>2927.2</v>
      </c>
      <c r="C9" s="26">
        <f>FORECAST(B9,INDEX(Table3[TVD (m)],MATCH(D9,Table3[MD (m)],0)):INDEX(Table3[TVD (m)],MATCH(E9,Table3[MD (m)],0)),INDEX(Table3[MD (m)],MATCH(D9,Table3[MD (m)],0)):INDEX(Table3[MD (m)],MATCH(E9,Table3[MD (m)],0)))</f>
        <v>2771.8010298661175</v>
      </c>
      <c r="D9" s="23" cm="1">
        <f t="array" ref="D9">MAX(IF(Table3[MD (m)]&lt;=B9,Table3[MD (m)]))</f>
        <v>2909.88</v>
      </c>
      <c r="E9" s="23" cm="1">
        <f t="array" ref="E9">MIN(IF(Table3[MD (m)]&gt;=B9,Table3[MD (m)]))</f>
        <v>2939.01</v>
      </c>
    </row>
    <row r="10" spans="2:5" x14ac:dyDescent="0.2">
      <c r="B10" s="10">
        <v>2935.2</v>
      </c>
      <c r="C10" s="25">
        <f>FORECAST(B10,INDEX(Table3[TVD (m)],MATCH(D10,Table3[MD (m)],0)):INDEX(Table3[TVD (m)],MATCH(E10,Table3[MD (m)],0)),INDEX(Table3[MD (m)],MATCH(D10,Table3[MD (m)],0)):INDEX(Table3[MD (m)],MATCH(E10,Table3[MD (m)],0)))</f>
        <v>2772.5590113285275</v>
      </c>
      <c r="D10" s="23" cm="1">
        <f t="array" ref="D10">MAX(IF(Table3[MD (m)]&lt;=B10,Table3[MD (m)]))</f>
        <v>2909.88</v>
      </c>
      <c r="E10" s="23" cm="1">
        <f t="array" ref="E10">MIN(IF(Table3[MD (m)]&gt;=B10,Table3[MD (m)]))</f>
        <v>2939.01</v>
      </c>
    </row>
    <row r="11" spans="2:5" x14ac:dyDescent="0.2">
      <c r="B11" s="10">
        <v>2947.7</v>
      </c>
      <c r="C11" s="25">
        <f>FORECAST(B11,INDEX(Table3[TVD (m)],MATCH(D11,Table3[MD (m)],0)):INDEX(Table3[TVD (m)],MATCH(E11,Table3[MD (m)],0)),INDEX(Table3[MD (m)],MATCH(D11,Table3[MD (m)],0)):INDEX(Table3[MD (m)],MATCH(E11,Table3[MD (m)],0)))</f>
        <v>2773.0690566037738</v>
      </c>
      <c r="D11" s="23" cm="1">
        <f t="array" ref="D11">MAX(IF(Table3[MD (m)]&lt;=B11,Table3[MD (m)]))</f>
        <v>2939.01</v>
      </c>
      <c r="E11" s="23" cm="1">
        <f t="array" ref="E11">MIN(IF(Table3[MD (m)]&gt;=B11,Table3[MD (m)]))</f>
        <v>2968.16</v>
      </c>
    </row>
    <row r="12" spans="2:5" x14ac:dyDescent="0.2">
      <c r="B12" s="11">
        <v>2960.2</v>
      </c>
      <c r="C12" s="25">
        <f>FORECAST(B12,INDEX(Table3[TVD (m)],MATCH(D12,Table3[MD (m)],0)):INDEX(Table3[TVD (m)],MATCH(E12,Table3[MD (m)],0)),INDEX(Table3[MD (m)],MATCH(D12,Table3[MD (m)],0)):INDEX(Table3[MD (m)],MATCH(E12,Table3[MD (m)],0)))</f>
        <v>2773.2834648370499</v>
      </c>
      <c r="D12" s="23" cm="1">
        <f t="array" ref="D12">MAX(IF(Table3[MD (m)]&lt;=B12,Table3[MD (m)]))</f>
        <v>2939.01</v>
      </c>
      <c r="E12" s="23" cm="1">
        <f t="array" ref="E12">MIN(IF(Table3[MD (m)]&gt;=B12,Table3[MD (m)]))</f>
        <v>2968.16</v>
      </c>
    </row>
    <row r="13" spans="2:5" x14ac:dyDescent="0.2">
      <c r="B13" s="10">
        <v>2972.7</v>
      </c>
      <c r="C13" s="25">
        <f>FORECAST(B13,INDEX(Table3[TVD (m)],MATCH(D13,Table3[MD (m)],0)):INDEX(Table3[TVD (m)],MATCH(E13,Table3[MD (m)],0)),INDEX(Table3[MD (m)],MATCH(D13,Table3[MD (m)],0)):INDEX(Table3[MD (m)],MATCH(E13,Table3[MD (m)],0)))</f>
        <v>2773.4527403846155</v>
      </c>
      <c r="D13" s="23" cm="1">
        <f t="array" ref="D13">MAX(IF(Table3[MD (m)]&lt;=B13,Table3[MD (m)]))</f>
        <v>2968.16</v>
      </c>
      <c r="E13" s="23" cm="1">
        <f t="array" ref="E13">MIN(IF(Table3[MD (m)]&gt;=B13,Table3[MD (m)]))</f>
        <v>2997.28</v>
      </c>
    </row>
    <row r="14" spans="2:5" x14ac:dyDescent="0.2">
      <c r="B14" s="11">
        <v>2985.2</v>
      </c>
      <c r="C14" s="25">
        <f>FORECAST(B14,INDEX(Table3[TVD (m)],MATCH(D14,Table3[MD (m)],0)):INDEX(Table3[TVD (m)],MATCH(E14,Table3[MD (m)],0)),INDEX(Table3[MD (m)],MATCH(D14,Table3[MD (m)],0)):INDEX(Table3[MD (m)],MATCH(E14,Table3[MD (m)],0)))</f>
        <v>2773.542884615385</v>
      </c>
      <c r="D14" s="23" cm="1">
        <f t="array" ref="D14">MAX(IF(Table3[MD (m)]&lt;=B14,Table3[MD (m)]))</f>
        <v>2968.16</v>
      </c>
      <c r="E14" s="23" cm="1">
        <f t="array" ref="E14">MIN(IF(Table3[MD (m)]&gt;=B14,Table3[MD (m)]))</f>
        <v>2997.28</v>
      </c>
    </row>
    <row r="15" spans="2:5" x14ac:dyDescent="0.2">
      <c r="B15" s="10">
        <v>2997.7</v>
      </c>
      <c r="C15" s="25">
        <f>FORECAST(B15,INDEX(Table3[TVD (m)],MATCH(D15,Table3[MD (m)],0)):INDEX(Table3[TVD (m)],MATCH(E15,Table3[MD (m)],0)),INDEX(Table3[MD (m)],MATCH(D15,Table3[MD (m)],0)):INDEX(Table3[MD (m)],MATCH(E15,Table3[MD (m)],0)))</f>
        <v>2773.631582191781</v>
      </c>
      <c r="D15" s="23" cm="1">
        <f t="array" ref="D15">MAX(IF(Table3[MD (m)]&lt;=B15,Table3[MD (m)]))</f>
        <v>2997.28</v>
      </c>
      <c r="E15" s="23" cm="1">
        <f t="array" ref="E15">MIN(IF(Table3[MD (m)]&gt;=B15,Table3[MD (m)]))</f>
        <v>3026.48</v>
      </c>
    </row>
    <row r="16" spans="2:5" x14ac:dyDescent="0.2">
      <c r="B16" s="11">
        <v>3010.2</v>
      </c>
      <c r="C16" s="25">
        <f>FORECAST(B16,INDEX(Table3[TVD (m)],MATCH(D16,Table3[MD (m)],0)):INDEX(Table3[TVD (m)],MATCH(E16,Table3[MD (m)],0)),INDEX(Table3[MD (m)],MATCH(D16,Table3[MD (m)],0)):INDEX(Table3[MD (m)],MATCH(E16,Table3[MD (m)],0)))</f>
        <v>2773.6786712328767</v>
      </c>
      <c r="D16" s="23" cm="1">
        <f t="array" ref="D16">MAX(IF(Table3[MD (m)]&lt;=B16,Table3[MD (m)]))</f>
        <v>2997.28</v>
      </c>
      <c r="E16" s="23" cm="1">
        <f t="array" ref="E16">MIN(IF(Table3[MD (m)]&gt;=B16,Table3[MD (m)]))</f>
        <v>3026.48</v>
      </c>
    </row>
    <row r="17" spans="2:5" x14ac:dyDescent="0.2">
      <c r="B17" s="10">
        <v>3022.7</v>
      </c>
      <c r="C17" s="25">
        <f>FORECAST(B17,INDEX(Table3[TVD (m)],MATCH(D17,Table3[MD (m)],0)):INDEX(Table3[TVD (m)],MATCH(E17,Table3[MD (m)],0)),INDEX(Table3[MD (m)],MATCH(D17,Table3[MD (m)],0)):INDEX(Table3[MD (m)],MATCH(E17,Table3[MD (m)],0)))</f>
        <v>2773.7257602739724</v>
      </c>
      <c r="D17" s="23" cm="1">
        <f t="array" ref="D17">MAX(IF(Table3[MD (m)]&lt;=B17,Table3[MD (m)]))</f>
        <v>2997.28</v>
      </c>
      <c r="E17" s="23" cm="1">
        <f t="array" ref="E17">MIN(IF(Table3[MD (m)]&gt;=B17,Table3[MD (m)]))</f>
        <v>3026.48</v>
      </c>
    </row>
    <row r="18" spans="2:5" x14ac:dyDescent="0.2">
      <c r="B18" s="15">
        <v>3027.7</v>
      </c>
      <c r="C18" s="26">
        <f>FORECAST(B18,INDEX(Table3[TVD (m)],MATCH(D18,Table3[MD (m)],0)):INDEX(Table3[TVD (m)],MATCH(E18,Table3[MD (m)],0)),INDEX(Table3[MD (m)],MATCH(D18,Table3[MD (m)],0)):INDEX(Table3[MD (m)],MATCH(E18,Table3[MD (m)],0)))</f>
        <v>2773.7416700889803</v>
      </c>
      <c r="D18" s="23" cm="1">
        <f t="array" ref="D18">MAX(IF(Table3[MD (m)]&lt;=B18,Table3[MD (m)]))</f>
        <v>3026.48</v>
      </c>
      <c r="E18" s="23" cm="1">
        <f t="array" ref="E18">MIN(IF(Table3[MD (m)]&gt;=B18,Table3[MD (m)]))</f>
        <v>3055.7</v>
      </c>
    </row>
    <row r="19" spans="2:5" x14ac:dyDescent="0.2">
      <c r="B19" s="11">
        <v>3205</v>
      </c>
      <c r="C19" s="25">
        <f>FORECAST(B19,INDEX(Table3[TVD (m)],MATCH(D19,Table3[MD (m)],0)):INDEX(Table3[TVD (m)],MATCH(E19,Table3[MD (m)],0)),INDEX(Table3[MD (m)],MATCH(D19,Table3[MD (m)],0)):INDEX(Table3[MD (m)],MATCH(E19,Table3[MD (m)],0)))</f>
        <v>2775.7200309278351</v>
      </c>
      <c r="D19" s="23" cm="1">
        <f t="array" ref="D19">MAX(IF(Table3[MD (m)]&lt;=B19,Table3[MD (m)]))</f>
        <v>3184.21</v>
      </c>
      <c r="E19" s="23" cm="1">
        <f t="array" ref="E19">MIN(IF(Table3[MD (m)]&gt;=B19,Table3[MD (m)]))</f>
        <v>3213.31</v>
      </c>
    </row>
    <row r="20" spans="2:5" x14ac:dyDescent="0.2">
      <c r="B20" s="10">
        <v>3212.5</v>
      </c>
      <c r="C20" s="25">
        <f>FORECAST(B20,INDEX(Table3[TVD (m)],MATCH(D20,Table3[MD (m)],0)):INDEX(Table3[TVD (m)],MATCH(E20,Table3[MD (m)],0)),INDEX(Table3[MD (m)],MATCH(D20,Table3[MD (m)],0)):INDEX(Table3[MD (m)],MATCH(E20,Table3[MD (m)],0)))</f>
        <v>2775.7741546391753</v>
      </c>
      <c r="D20" s="23" cm="1">
        <f t="array" ref="D20">MAX(IF(Table3[MD (m)]&lt;=B20,Table3[MD (m)]))</f>
        <v>3184.21</v>
      </c>
      <c r="E20" s="23" cm="1">
        <f t="array" ref="E20">MIN(IF(Table3[MD (m)]&gt;=B20,Table3[MD (m)]))</f>
        <v>3213.31</v>
      </c>
    </row>
    <row r="21" spans="2:5" x14ac:dyDescent="0.2">
      <c r="B21" s="11">
        <v>3225</v>
      </c>
      <c r="C21" s="25">
        <f>FORECAST(B21,INDEX(Table3[TVD (m)],MATCH(D21,Table3[MD (m)],0)):INDEX(Table3[TVD (m)],MATCH(E21,Table3[MD (m)],0)),INDEX(Table3[MD (m)],MATCH(D21,Table3[MD (m)],0)):INDEX(Table3[MD (m)],MATCH(E21,Table3[MD (m)],0)))</f>
        <v>2775.9092605390465</v>
      </c>
      <c r="D21" s="23" cm="1">
        <f t="array" ref="D21">MAX(IF(Table3[MD (m)]&lt;=B21,Table3[MD (m)]))</f>
        <v>3213.31</v>
      </c>
      <c r="E21" s="23" cm="1">
        <f t="array" ref="E21">MIN(IF(Table3[MD (m)]&gt;=B21,Table3[MD (m)]))</f>
        <v>3242.25</v>
      </c>
    </row>
    <row r="22" spans="2:5" x14ac:dyDescent="0.2">
      <c r="B22" s="10">
        <v>3237.5</v>
      </c>
      <c r="C22" s="25">
        <f>FORECAST(B22,INDEX(Table3[TVD (m)],MATCH(D22,Table3[MD (m)],0)):INDEX(Table3[TVD (m)],MATCH(E22,Table3[MD (m)],0)),INDEX(Table3[MD (m)],MATCH(D22,Table3[MD (m)],0)):INDEX(Table3[MD (m)],MATCH(E22,Table3[MD (m)],0)))</f>
        <v>2776.0474775397374</v>
      </c>
      <c r="D22" s="23" cm="1">
        <f t="array" ref="D22">MAX(IF(Table3[MD (m)]&lt;=B22,Table3[MD (m)]))</f>
        <v>3213.31</v>
      </c>
      <c r="E22" s="23" cm="1">
        <f t="array" ref="E22">MIN(IF(Table3[MD (m)]&gt;=B22,Table3[MD (m)]))</f>
        <v>3242.25</v>
      </c>
    </row>
    <row r="23" spans="2:5" x14ac:dyDescent="0.2">
      <c r="B23" s="11">
        <v>3250</v>
      </c>
      <c r="C23" s="25">
        <f>FORECAST(B23,INDEX(Table3[TVD (m)],MATCH(D23,Table3[MD (m)],0)):INDEX(Table3[TVD (m)],MATCH(E23,Table3[MD (m)],0)),INDEX(Table3[MD (m)],MATCH(D23,Table3[MD (m)],0)):INDEX(Table3[MD (m)],MATCH(E23,Table3[MD (m)],0)))</f>
        <v>2776.2263440860215</v>
      </c>
      <c r="D23" s="23" cm="1">
        <f t="array" ref="D23">MAX(IF(Table3[MD (m)]&lt;=B23,Table3[MD (m)]))</f>
        <v>3242.25</v>
      </c>
      <c r="E23" s="23" cm="1">
        <f t="array" ref="E23">MIN(IF(Table3[MD (m)]&gt;=B23,Table3[MD (m)]))</f>
        <v>3271.08</v>
      </c>
    </row>
    <row r="24" spans="2:5" x14ac:dyDescent="0.2">
      <c r="B24" s="10">
        <v>3262.5</v>
      </c>
      <c r="C24" s="25">
        <f>FORECAST(B24,INDEX(Table3[TVD (m)],MATCH(D24,Table3[MD (m)],0)):INDEX(Table3[TVD (m)],MATCH(E24,Table3[MD (m)],0)),INDEX(Table3[MD (m)],MATCH(D24,Table3[MD (m)],0)):INDEX(Table3[MD (m)],MATCH(E24,Table3[MD (m)],0)))</f>
        <v>2776.4301248699276</v>
      </c>
      <c r="D24" s="23" cm="1">
        <f t="array" ref="D24">MAX(IF(Table3[MD (m)]&lt;=B24,Table3[MD (m)]))</f>
        <v>3242.25</v>
      </c>
      <c r="E24" s="23" cm="1">
        <f t="array" ref="E24">MIN(IF(Table3[MD (m)]&gt;=B24,Table3[MD (m)]))</f>
        <v>3271.08</v>
      </c>
    </row>
    <row r="25" spans="2:5" x14ac:dyDescent="0.2">
      <c r="B25" s="11">
        <v>3275</v>
      </c>
      <c r="C25" s="25">
        <f>FORECAST(B25,INDEX(Table3[TVD (m)],MATCH(D25,Table3[MD (m)],0)):INDEX(Table3[TVD (m)],MATCH(E25,Table3[MD (m)],0)),INDEX(Table3[MD (m)],MATCH(D25,Table3[MD (m)],0)):INDEX(Table3[MD (m)],MATCH(E25,Table3[MD (m)],0)))</f>
        <v>2776.6413461538464</v>
      </c>
      <c r="D25" s="23" cm="1">
        <f t="array" ref="D25">MAX(IF(Table3[MD (m)]&lt;=B25,Table3[MD (m)]))</f>
        <v>3271.08</v>
      </c>
      <c r="E25" s="23" cm="1">
        <f t="array" ref="E25">MIN(IF(Table3[MD (m)]&gt;=B25,Table3[MD (m)]))</f>
        <v>3300.2</v>
      </c>
    </row>
    <row r="26" spans="2:5" x14ac:dyDescent="0.2">
      <c r="B26" s="10">
        <v>3287.5</v>
      </c>
      <c r="C26" s="25">
        <f>FORECAST(B26,INDEX(Table3[TVD (m)],MATCH(D26,Table3[MD (m)],0)):INDEX(Table3[TVD (m)],MATCH(E26,Table3[MD (m)],0)),INDEX(Table3[MD (m)],MATCH(D26,Table3[MD (m)],0)):INDEX(Table3[MD (m)],MATCH(E26,Table3[MD (m)],0)))</f>
        <v>2776.8688530219779</v>
      </c>
      <c r="D26" s="23" cm="1">
        <f t="array" ref="D26">MAX(IF(Table3[MD (m)]&lt;=B26,Table3[MD (m)]))</f>
        <v>3271.08</v>
      </c>
      <c r="E26" s="23" cm="1">
        <f t="array" ref="E26">MIN(IF(Table3[MD (m)]&gt;=B26,Table3[MD (m)]))</f>
        <v>3300.2</v>
      </c>
    </row>
    <row r="27" spans="2:5" x14ac:dyDescent="0.2">
      <c r="B27" s="11">
        <v>3300</v>
      </c>
      <c r="C27" s="25">
        <f>FORECAST(B27,INDEX(Table3[TVD (m)],MATCH(D27,Table3[MD (m)],0)):INDEX(Table3[TVD (m)],MATCH(E27,Table3[MD (m)],0)),INDEX(Table3[MD (m)],MATCH(D27,Table3[MD (m)],0)):INDEX(Table3[MD (m)],MATCH(E27,Table3[MD (m)],0)))</f>
        <v>2777.0963598901099</v>
      </c>
      <c r="D27" s="23" cm="1">
        <f t="array" ref="D27">MAX(IF(Table3[MD (m)]&lt;=B27,Table3[MD (m)]))</f>
        <v>3271.08</v>
      </c>
      <c r="E27" s="23" cm="1">
        <f t="array" ref="E27">MIN(IF(Table3[MD (m)]&gt;=B27,Table3[MD (m)]))</f>
        <v>3300.2</v>
      </c>
    </row>
    <row r="28" spans="2:5" x14ac:dyDescent="0.2">
      <c r="B28" s="14">
        <v>3305</v>
      </c>
      <c r="C28" s="26">
        <f>FORECAST(B28,INDEX(Table3[TVD (m)],MATCH(D28,Table3[MD (m)],0)):INDEX(Table3[TVD (m)],MATCH(E28,Table3[MD (m)],0)),INDEX(Table3[MD (m)],MATCH(D28,Table3[MD (m)],0)):INDEX(Table3[MD (m)],MATCH(E28,Table3[MD (m)],0)))</f>
        <v>2777.1678152997933</v>
      </c>
      <c r="D28" s="23" cm="1">
        <f t="array" ref="D28">MAX(IF(Table3[MD (m)]&lt;=B28,Table3[MD (m)]))</f>
        <v>3300.2</v>
      </c>
      <c r="E28" s="23" cm="1">
        <f t="array" ref="E28">MIN(IF(Table3[MD (m)]&gt;=B28,Table3[MD (m)]))</f>
        <v>3329.22</v>
      </c>
    </row>
    <row r="29" spans="2:5" x14ac:dyDescent="0.2">
      <c r="B29" s="11">
        <v>3312.5</v>
      </c>
      <c r="C29" s="25">
        <f>FORECAST(B29,INDEX(Table3[TVD (m)],MATCH(D29,Table3[MD (m)],0)):INDEX(Table3[TVD (m)],MATCH(E29,Table3[MD (m)],0)),INDEX(Table3[MD (m)],MATCH(D29,Table3[MD (m)],0)):INDEX(Table3[MD (m)],MATCH(E29,Table3[MD (m)],0)))</f>
        <v>2777.2737767057201</v>
      </c>
      <c r="D29" s="23" cm="1">
        <f t="array" ref="D29">MAX(IF(Table3[MD (m)]&lt;=B29,Table3[MD (m)]))</f>
        <v>3300.2</v>
      </c>
      <c r="E29" s="23" cm="1">
        <f t="array" ref="E29">MIN(IF(Table3[MD (m)]&gt;=B29,Table3[MD (m)]))</f>
        <v>3329.22</v>
      </c>
    </row>
    <row r="30" spans="2:5" x14ac:dyDescent="0.2">
      <c r="B30" s="10">
        <v>3325</v>
      </c>
      <c r="C30" s="25">
        <f>FORECAST(B30,INDEX(Table3[TVD (m)],MATCH(D30,Table3[MD (m)],0)):INDEX(Table3[TVD (m)],MATCH(E30,Table3[MD (m)],0)),INDEX(Table3[MD (m)],MATCH(D30,Table3[MD (m)],0)):INDEX(Table3[MD (m)],MATCH(E30,Table3[MD (m)],0)))</f>
        <v>2777.4503790489321</v>
      </c>
      <c r="D30" s="23" cm="1">
        <f t="array" ref="D30">MAX(IF(Table3[MD (m)]&lt;=B30,Table3[MD (m)]))</f>
        <v>3300.2</v>
      </c>
      <c r="E30" s="23" cm="1">
        <f t="array" ref="E30">MIN(IF(Table3[MD (m)]&gt;=B30,Table3[MD (m)]))</f>
        <v>3329.22</v>
      </c>
    </row>
    <row r="31" spans="2:5" x14ac:dyDescent="0.2">
      <c r="B31" s="11">
        <v>3337.5</v>
      </c>
      <c r="C31" s="25">
        <f>FORECAST(B31,INDEX(Table3[TVD (m)],MATCH(D31,Table3[MD (m)],0)):INDEX(Table3[TVD (m)],MATCH(E31,Table3[MD (m)],0)),INDEX(Table3[MD (m)],MATCH(D31,Table3[MD (m)],0)):INDEX(Table3[MD (m)],MATCH(E31,Table3[MD (m)],0)))</f>
        <v>2777.6045467128033</v>
      </c>
      <c r="D31" s="23" cm="1">
        <f t="array" ref="D31">MAX(IF(Table3[MD (m)]&lt;=B31,Table3[MD (m)]))</f>
        <v>3329.22</v>
      </c>
      <c r="E31" s="23" cm="1">
        <f t="array" ref="E31">MIN(IF(Table3[MD (m)]&gt;=B31,Table3[MD (m)]))</f>
        <v>3358.12</v>
      </c>
    </row>
    <row r="32" spans="2:5" x14ac:dyDescent="0.2">
      <c r="B32" s="10">
        <v>3350</v>
      </c>
      <c r="C32" s="25">
        <f>FORECAST(B32,INDEX(Table3[TVD (m)],MATCH(D32,Table3[MD (m)],0)):INDEX(Table3[TVD (m)],MATCH(E32,Table3[MD (m)],0)),INDEX(Table3[MD (m)],MATCH(D32,Table3[MD (m)],0)):INDEX(Table3[MD (m)],MATCH(E32,Table3[MD (m)],0)))</f>
        <v>2777.747280276817</v>
      </c>
      <c r="D32" s="23" cm="1">
        <f t="array" ref="D32">MAX(IF(Table3[MD (m)]&lt;=B32,Table3[MD (m)]))</f>
        <v>3329.22</v>
      </c>
      <c r="E32" s="23" cm="1">
        <f t="array" ref="E32">MIN(IF(Table3[MD (m)]&gt;=B32,Table3[MD (m)]))</f>
        <v>3358.12</v>
      </c>
    </row>
    <row r="33" spans="2:5" x14ac:dyDescent="0.2">
      <c r="B33" s="11">
        <v>3362.5</v>
      </c>
      <c r="C33" s="25">
        <f>FORECAST(B33,INDEX(Table3[TVD (m)],MATCH(D33,Table3[MD (m)],0)):INDEX(Table3[TVD (m)],MATCH(E33,Table3[MD (m)],0)),INDEX(Table3[MD (m)],MATCH(D33,Table3[MD (m)],0)):INDEX(Table3[MD (m)],MATCH(E33,Table3[MD (m)],0)))</f>
        <v>2777.9186192613051</v>
      </c>
      <c r="D33" s="23" cm="1">
        <f t="array" ref="D33">MAX(IF(Table3[MD (m)]&lt;=B33,Table3[MD (m)]))</f>
        <v>3358.12</v>
      </c>
      <c r="E33" s="23" cm="1">
        <f t="array" ref="E33">MIN(IF(Table3[MD (m)]&gt;=B33,Table3[MD (m)]))</f>
        <v>3387.09</v>
      </c>
    </row>
    <row r="34" spans="2:5" x14ac:dyDescent="0.2">
      <c r="B34" s="10">
        <v>3375</v>
      </c>
      <c r="C34" s="25">
        <f>FORECAST(B34,INDEX(Table3[TVD (m)],MATCH(D34,Table3[MD (m)],0)):INDEX(Table3[TVD (m)],MATCH(E34,Table3[MD (m)],0)),INDEX(Table3[MD (m)],MATCH(D34,Table3[MD (m)],0)):INDEX(Table3[MD (m)],MATCH(E34,Table3[MD (m)],0)))</f>
        <v>2778.1429892992755</v>
      </c>
      <c r="D34" s="23" cm="1">
        <f t="array" ref="D34">MAX(IF(Table3[MD (m)]&lt;=B34,Table3[MD (m)]))</f>
        <v>3358.12</v>
      </c>
      <c r="E34" s="23" cm="1">
        <f t="array" ref="E34">MIN(IF(Table3[MD (m)]&gt;=B34,Table3[MD (m)]))</f>
        <v>3387.09</v>
      </c>
    </row>
    <row r="35" spans="2:5" x14ac:dyDescent="0.2">
      <c r="B35" s="11">
        <v>3387.5</v>
      </c>
      <c r="C35" s="25">
        <f>FORECAST(B35,INDEX(Table3[TVD (m)],MATCH(D35,Table3[MD (m)],0)):INDEX(Table3[TVD (m)],MATCH(E35,Table3[MD (m)],0)),INDEX(Table3[MD (m)],MATCH(D35,Table3[MD (m)],0)):INDEX(Table3[MD (m)],MATCH(E35,Table3[MD (m)],0)))</f>
        <v>2778.3636619718309</v>
      </c>
      <c r="D35" s="23" cm="1">
        <f t="array" ref="D35">MAX(IF(Table3[MD (m)]&lt;=B35,Table3[MD (m)]))</f>
        <v>3387.09</v>
      </c>
      <c r="E35" s="23" cm="1">
        <f t="array" ref="E35">MIN(IF(Table3[MD (m)]&gt;=B35,Table3[MD (m)]))</f>
        <v>3416.2</v>
      </c>
    </row>
    <row r="36" spans="2:5" x14ac:dyDescent="0.2">
      <c r="B36" s="10">
        <v>3400</v>
      </c>
      <c r="C36" s="25">
        <f>FORECAST(B36,INDEX(Table3[TVD (m)],MATCH(D36,Table3[MD (m)],0)):INDEX(Table3[TVD (m)],MATCH(E36,Table3[MD (m)],0)),INDEX(Table3[MD (m)],MATCH(D36,Table3[MD (m)],0)):INDEX(Table3[MD (m)],MATCH(E36,Table3[MD (m)],0)))</f>
        <v>2778.4753074544828</v>
      </c>
      <c r="D36" s="23" cm="1">
        <f t="array" ref="D36">MAX(IF(Table3[MD (m)]&lt;=B36,Table3[MD (m)]))</f>
        <v>3387.09</v>
      </c>
      <c r="E36" s="23" cm="1">
        <f t="array" ref="E36">MIN(IF(Table3[MD (m)]&gt;=B36,Table3[MD (m)]))</f>
        <v>3416.2</v>
      </c>
    </row>
    <row r="37" spans="2:5" x14ac:dyDescent="0.2">
      <c r="B37" s="15">
        <v>3405</v>
      </c>
      <c r="C37" s="26">
        <f>FORECAST(B37,INDEX(Table3[TVD (m)],MATCH(D37,Table3[MD (m)],0)):INDEX(Table3[TVD (m)],MATCH(E37,Table3[MD (m)],0)),INDEX(Table3[MD (m)],MATCH(D37,Table3[MD (m)],0)):INDEX(Table3[MD (m)],MATCH(E37,Table3[MD (m)],0)))</f>
        <v>2778.5199656475438</v>
      </c>
      <c r="D37" s="23" cm="1">
        <f t="array" ref="D37">MAX(IF(Table3[MD (m)]&lt;=B37,Table3[MD (m)]))</f>
        <v>3387.09</v>
      </c>
      <c r="E37" s="23" cm="1">
        <f t="array" ref="E37">MIN(IF(Table3[MD (m)]&gt;=B37,Table3[MD (m)]))</f>
        <v>3416.2</v>
      </c>
    </row>
    <row r="38" spans="2:5" x14ac:dyDescent="0.2">
      <c r="B38" s="10">
        <v>3459</v>
      </c>
      <c r="C38" s="25">
        <f>FORECAST(B38,INDEX(Table3[TVD (m)],MATCH(D38,Table3[MD (m)],0)):INDEX(Table3[TVD (m)],MATCH(E38,Table3[MD (m)],0)),INDEX(Table3[MD (m)],MATCH(D38,Table3[MD (m)],0)):INDEX(Table3[MD (m)],MATCH(E38,Table3[MD (m)],0)))</f>
        <v>2778.392432524769</v>
      </c>
      <c r="D38" s="23" cm="1">
        <f t="array" ref="D38">MAX(IF(Table3[MD (m)]&lt;=B38,Table3[MD (m)]))</f>
        <v>3444.81</v>
      </c>
      <c r="E38" s="23" cm="1">
        <f t="array" ref="E38">MIN(IF(Table3[MD (m)]&gt;=B38,Table3[MD (m)]))</f>
        <v>3474.08</v>
      </c>
    </row>
    <row r="39" spans="2:5" x14ac:dyDescent="0.2">
      <c r="B39" s="11">
        <v>3466.5</v>
      </c>
      <c r="C39" s="25">
        <f>FORECAST(B39,INDEX(Table3[TVD (m)],MATCH(D39,Table3[MD (m)],0)):INDEX(Table3[TVD (m)],MATCH(E39,Table3[MD (m)],0)),INDEX(Table3[MD (m)],MATCH(D39,Table3[MD (m)],0)):INDEX(Table3[MD (m)],MATCH(E39,Table3[MD (m)],0)))</f>
        <v>2778.3514349162965</v>
      </c>
      <c r="D39" s="23" cm="1">
        <f t="array" ref="D39">MAX(IF(Table3[MD (m)]&lt;=B39,Table3[MD (m)]))</f>
        <v>3444.81</v>
      </c>
      <c r="E39" s="23" cm="1">
        <f t="array" ref="E39">MIN(IF(Table3[MD (m)]&gt;=B39,Table3[MD (m)]))</f>
        <v>3474.08</v>
      </c>
    </row>
    <row r="40" spans="2:5" x14ac:dyDescent="0.2">
      <c r="B40" s="12">
        <v>3479</v>
      </c>
      <c r="C40" s="25">
        <f>FORECAST(B40,INDEX(Table3[TVD (m)],MATCH(D40,Table3[MD (m)],0)):INDEX(Table3[TVD (m)],MATCH(E40,Table3[MD (m)],0)),INDEX(Table3[MD (m)],MATCH(D40,Table3[MD (m)],0)):INDEX(Table3[MD (m)],MATCH(E40,Table3[MD (m)],0)))</f>
        <v>2778.2861990324809</v>
      </c>
      <c r="D40" s="23" cm="1">
        <f t="array" ref="D40">MAX(IF(Table3[MD (m)]&lt;=B40,Table3[MD (m)]))</f>
        <v>3474.08</v>
      </c>
      <c r="E40" s="23" cm="1">
        <f t="array" ref="E40">MIN(IF(Table3[MD (m)]&gt;=B40,Table3[MD (m)]))</f>
        <v>3503.02</v>
      </c>
    </row>
    <row r="41" spans="2:5" x14ac:dyDescent="0.2">
      <c r="B41" s="13">
        <v>3491.5</v>
      </c>
      <c r="C41" s="25">
        <f>FORECAST(B41,INDEX(Table3[TVD (m)],MATCH(D41,Table3[MD (m)],0)):INDEX(Table3[TVD (m)],MATCH(E41,Table3[MD (m)],0)),INDEX(Table3[MD (m)],MATCH(D41,Table3[MD (m)],0)):INDEX(Table3[MD (m)],MATCH(E41,Table3[MD (m)],0)))</f>
        <v>2778.2257290946782</v>
      </c>
      <c r="D41" s="23" cm="1">
        <f t="array" ref="D41">MAX(IF(Table3[MD (m)]&lt;=B41,Table3[MD (m)]))</f>
        <v>3474.08</v>
      </c>
      <c r="E41" s="23" cm="1">
        <f t="array" ref="E41">MIN(IF(Table3[MD (m)]&gt;=B41,Table3[MD (m)]))</f>
        <v>3503.02</v>
      </c>
    </row>
    <row r="42" spans="2:5" x14ac:dyDescent="0.2">
      <c r="B42" s="12">
        <v>3504</v>
      </c>
      <c r="C42" s="25">
        <f>FORECAST(B42,INDEX(Table3[TVD (m)],MATCH(D42,Table3[MD (m)],0)):INDEX(Table3[TVD (m)],MATCH(E42,Table3[MD (m)],0)),INDEX(Table3[MD (m)],MATCH(D42,Table3[MD (m)],0)):INDEX(Table3[MD (m)],MATCH(E42,Table3[MD (m)],0)))</f>
        <v>2778.1753846153847</v>
      </c>
      <c r="D42" s="23" cm="1">
        <f t="array" ref="D42">MAX(IF(Table3[MD (m)]&lt;=B42,Table3[MD (m)]))</f>
        <v>3503.02</v>
      </c>
      <c r="E42" s="23" cm="1">
        <f t="array" ref="E42">MIN(IF(Table3[MD (m)]&gt;=B42,Table3[MD (m)]))</f>
        <v>3532.14</v>
      </c>
    </row>
    <row r="43" spans="2:5" x14ac:dyDescent="0.2">
      <c r="B43" s="13">
        <v>3516.5</v>
      </c>
      <c r="C43" s="25">
        <f>FORECAST(B43,INDEX(Table3[TVD (m)],MATCH(D43,Table3[MD (m)],0)):INDEX(Table3[TVD (m)],MATCH(E43,Table3[MD (m)],0)),INDEX(Table3[MD (m)],MATCH(D43,Table3[MD (m)],0)):INDEX(Table3[MD (m)],MATCH(E43,Table3[MD (m)],0)))</f>
        <v>2778.2440659340659</v>
      </c>
      <c r="D43" s="23" cm="1">
        <f t="array" ref="D43">MAX(IF(Table3[MD (m)]&lt;=B43,Table3[MD (m)]))</f>
        <v>3503.02</v>
      </c>
      <c r="E43" s="23" cm="1">
        <f t="array" ref="E43">MIN(IF(Table3[MD (m)]&gt;=B43,Table3[MD (m)]))</f>
        <v>3532.14</v>
      </c>
    </row>
    <row r="44" spans="2:5" x14ac:dyDescent="0.2">
      <c r="B44" s="12">
        <v>3529</v>
      </c>
      <c r="C44" s="25">
        <f>FORECAST(B44,INDEX(Table3[TVD (m)],MATCH(D44,Table3[MD (m)],0)):INDEX(Table3[TVD (m)],MATCH(E44,Table3[MD (m)],0)),INDEX(Table3[MD (m)],MATCH(D44,Table3[MD (m)],0)):INDEX(Table3[MD (m)],MATCH(E44,Table3[MD (m)],0)))</f>
        <v>2778.3127472527472</v>
      </c>
      <c r="D44" s="23" cm="1">
        <f t="array" ref="D44">MAX(IF(Table3[MD (m)]&lt;=B44,Table3[MD (m)]))</f>
        <v>3503.02</v>
      </c>
      <c r="E44" s="23" cm="1">
        <f t="array" ref="E44">MIN(IF(Table3[MD (m)]&gt;=B44,Table3[MD (m)]))</f>
        <v>3532.14</v>
      </c>
    </row>
    <row r="45" spans="2:5" x14ac:dyDescent="0.2">
      <c r="B45" s="13">
        <v>3541.5</v>
      </c>
      <c r="C45" s="25">
        <f>FORECAST(B45,INDEX(Table3[TVD (m)],MATCH(D45,Table3[MD (m)],0)):INDEX(Table3[TVD (m)],MATCH(E45,Table3[MD (m)],0)),INDEX(Table3[MD (m)],MATCH(D45,Table3[MD (m)],0)):INDEX(Table3[MD (m)],MATCH(E45,Table3[MD (m)],0)))</f>
        <v>2778.4562240663895</v>
      </c>
      <c r="D45" s="23" cm="1">
        <f t="array" ref="D45">MAX(IF(Table3[MD (m)]&lt;=B45,Table3[MD (m)]))</f>
        <v>3532.14</v>
      </c>
      <c r="E45" s="23" cm="1">
        <f t="array" ref="E45">MIN(IF(Table3[MD (m)]&gt;=B45,Table3[MD (m)]))</f>
        <v>3561.06</v>
      </c>
    </row>
    <row r="46" spans="2:5" x14ac:dyDescent="0.2">
      <c r="B46" s="12">
        <v>3554</v>
      </c>
      <c r="C46" s="25">
        <f>FORECAST(B46,INDEX(Table3[TVD (m)],MATCH(D46,Table3[MD (m)],0)):INDEX(Table3[TVD (m)],MATCH(E46,Table3[MD (m)],0)),INDEX(Table3[MD (m)],MATCH(D46,Table3[MD (m)],0)):INDEX(Table3[MD (m)],MATCH(E46,Table3[MD (m)],0)))</f>
        <v>2778.62479253112</v>
      </c>
      <c r="D46" s="23" cm="1">
        <f t="array" ref="D46">MAX(IF(Table3[MD (m)]&lt;=B46,Table3[MD (m)]))</f>
        <v>3532.14</v>
      </c>
      <c r="E46" s="23" cm="1">
        <f t="array" ref="E46">MIN(IF(Table3[MD (m)]&gt;=B46,Table3[MD (m)]))</f>
        <v>3561.06</v>
      </c>
    </row>
    <row r="47" spans="2:5" x14ac:dyDescent="0.2">
      <c r="B47" s="16">
        <v>3559</v>
      </c>
      <c r="C47" s="26">
        <f>FORECAST(B47,INDEX(Table3[TVD (m)],MATCH(D47,Table3[MD (m)],0)):INDEX(Table3[TVD (m)],MATCH(E47,Table3[MD (m)],0)),INDEX(Table3[MD (m)],MATCH(D47,Table3[MD (m)],0)):INDEX(Table3[MD (m)],MATCH(E47,Table3[MD (m)],0)))</f>
        <v>2778.6922199170117</v>
      </c>
      <c r="D47" s="23" cm="1">
        <f t="array" ref="D47">MAX(IF(Table3[MD (m)]&lt;=B47,Table3[MD (m)]))</f>
        <v>3532.14</v>
      </c>
      <c r="E47" s="23" cm="1">
        <f t="array" ref="E47">MIN(IF(Table3[MD (m)]&gt;=B47,Table3[MD (m)]))</f>
        <v>3561.06</v>
      </c>
    </row>
    <row r="48" spans="2:5" x14ac:dyDescent="0.2">
      <c r="B48" s="12">
        <v>3566.5</v>
      </c>
      <c r="C48" s="25">
        <f>FORECAST(B48,INDEX(Table3[TVD (m)],MATCH(D48,Table3[MD (m)],0)):INDEX(Table3[TVD (m)],MATCH(E48,Table3[MD (m)],0)),INDEX(Table3[MD (m)],MATCH(D48,Table3[MD (m)],0)):INDEX(Table3[MD (m)],MATCH(E48,Table3[MD (m)],0)))</f>
        <v>2778.7556045470201</v>
      </c>
      <c r="D48" s="23" cm="1">
        <f t="array" ref="D48">MAX(IF(Table3[MD (m)]&lt;=B48,Table3[MD (m)]))</f>
        <v>3561.06</v>
      </c>
      <c r="E48" s="23" cm="1">
        <f t="array" ref="E48">MIN(IF(Table3[MD (m)]&gt;=B48,Table3[MD (m)]))</f>
        <v>3590.09</v>
      </c>
    </row>
    <row r="49" spans="2:5" x14ac:dyDescent="0.2">
      <c r="B49" s="13">
        <v>3579</v>
      </c>
      <c r="C49" s="25">
        <f>FORECAST(B49,INDEX(Table3[TVD (m)],MATCH(D49,Table3[MD (m)],0)):INDEX(Table3[TVD (m)],MATCH(E49,Table3[MD (m)],0)),INDEX(Table3[MD (m)],MATCH(D49,Table3[MD (m)],0)):INDEX(Table3[MD (m)],MATCH(E49,Table3[MD (m)],0)))</f>
        <v>2778.8374164657248</v>
      </c>
      <c r="D49" s="23" cm="1">
        <f t="array" ref="D49">MAX(IF(Table3[MD (m)]&lt;=B49,Table3[MD (m)]))</f>
        <v>3561.06</v>
      </c>
      <c r="E49" s="23" cm="1">
        <f t="array" ref="E49">MIN(IF(Table3[MD (m)]&gt;=B49,Table3[MD (m)]))</f>
        <v>3590.09</v>
      </c>
    </row>
    <row r="50" spans="2:5" x14ac:dyDescent="0.2">
      <c r="B50" s="12">
        <v>3591.5</v>
      </c>
      <c r="C50" s="25">
        <f>FORECAST(B50,INDEX(Table3[TVD (m)],MATCH(D50,Table3[MD (m)],0)):INDEX(Table3[TVD (m)],MATCH(E50,Table3[MD (m)],0)),INDEX(Table3[MD (m)],MATCH(D50,Table3[MD (m)],0)):INDEX(Table3[MD (m)],MATCH(E50,Table3[MD (m)],0)))</f>
        <v>2778.9216248711782</v>
      </c>
      <c r="D50" s="23" cm="1">
        <f t="array" ref="D50">MAX(IF(Table3[MD (m)]&lt;=B50,Table3[MD (m)]))</f>
        <v>3590.09</v>
      </c>
      <c r="E50" s="23" cm="1">
        <f t="array" ref="E50">MIN(IF(Table3[MD (m)]&gt;=B50,Table3[MD (m)]))</f>
        <v>3619.2</v>
      </c>
    </row>
    <row r="51" spans="2:5" x14ac:dyDescent="0.2">
      <c r="B51" s="13">
        <v>3604</v>
      </c>
      <c r="C51" s="25">
        <f>FORECAST(B51,INDEX(Table3[TVD (m)],MATCH(D51,Table3[MD (m)],0)):INDEX(Table3[TVD (m)],MATCH(E51,Table3[MD (m)],0)),INDEX(Table3[MD (m)],MATCH(D51,Table3[MD (m)],0)):INDEX(Table3[MD (m)],MATCH(E51,Table3[MD (m)],0)))</f>
        <v>2779.0246822397798</v>
      </c>
      <c r="D51" s="23" cm="1">
        <f t="array" ref="D51">MAX(IF(Table3[MD (m)]&lt;=B51,Table3[MD (m)]))</f>
        <v>3590.09</v>
      </c>
      <c r="E51" s="23" cm="1">
        <f t="array" ref="E51">MIN(IF(Table3[MD (m)]&gt;=B51,Table3[MD (m)]))</f>
        <v>3619.2</v>
      </c>
    </row>
    <row r="52" spans="2:5" x14ac:dyDescent="0.2">
      <c r="B52" s="12">
        <v>3616.5</v>
      </c>
      <c r="C52" s="25">
        <f>FORECAST(B52,INDEX(Table3[TVD (m)],MATCH(D52,Table3[MD (m)],0)):INDEX(Table3[TVD (m)],MATCH(E52,Table3[MD (m)],0)),INDEX(Table3[MD (m)],MATCH(D52,Table3[MD (m)],0)):INDEX(Table3[MD (m)],MATCH(E52,Table3[MD (m)],0)))</f>
        <v>2779.1277396083819</v>
      </c>
      <c r="D52" s="23" cm="1">
        <f t="array" ref="D52">MAX(IF(Table3[MD (m)]&lt;=B52,Table3[MD (m)]))</f>
        <v>3590.09</v>
      </c>
      <c r="E52" s="23" cm="1">
        <f t="array" ref="E52">MIN(IF(Table3[MD (m)]&gt;=B52,Table3[MD (m)]))</f>
        <v>3619.2</v>
      </c>
    </row>
    <row r="53" spans="2:5" x14ac:dyDescent="0.2">
      <c r="B53" s="13">
        <v>3629</v>
      </c>
      <c r="C53" s="25">
        <f>FORECAST(B53,INDEX(Table3[TVD (m)],MATCH(D53,Table3[MD (m)],0)):INDEX(Table3[TVD (m)],MATCH(E53,Table3[MD (m)],0)),INDEX(Table3[MD (m)],MATCH(D53,Table3[MD (m)],0)):INDEX(Table3[MD (m)],MATCH(E53,Table3[MD (m)],0)))</f>
        <v>2779.2789473684211</v>
      </c>
      <c r="D53" s="23" cm="1">
        <f t="array" ref="D53">MAX(IF(Table3[MD (m)]&lt;=B53,Table3[MD (m)]))</f>
        <v>3619.2</v>
      </c>
      <c r="E53" s="23" cm="1">
        <f t="array" ref="E53">MIN(IF(Table3[MD (m)]&gt;=B53,Table3[MD (m)]))</f>
        <v>3648.08</v>
      </c>
    </row>
    <row r="54" spans="2:5" x14ac:dyDescent="0.2">
      <c r="B54" s="12">
        <v>3641.5</v>
      </c>
      <c r="C54" s="25">
        <f>FORECAST(B54,INDEX(Table3[TVD (m)],MATCH(D54,Table3[MD (m)],0)):INDEX(Table3[TVD (m)],MATCH(E54,Table3[MD (m)],0)),INDEX(Table3[MD (m)],MATCH(D54,Table3[MD (m)],0)):INDEX(Table3[MD (m)],MATCH(E54,Table3[MD (m)],0)))</f>
        <v>2779.4434210526315</v>
      </c>
      <c r="D54" s="23" cm="1">
        <f t="array" ref="D54">MAX(IF(Table3[MD (m)]&lt;=B54,Table3[MD (m)]))</f>
        <v>3619.2</v>
      </c>
      <c r="E54" s="23" cm="1">
        <f t="array" ref="E54">MIN(IF(Table3[MD (m)]&gt;=B54,Table3[MD (m)]))</f>
        <v>3648.08</v>
      </c>
    </row>
    <row r="55" spans="2:5" x14ac:dyDescent="0.2">
      <c r="B55" s="13">
        <v>3654</v>
      </c>
      <c r="C55" s="25">
        <f>FORECAST(B55,INDEX(Table3[TVD (m)],MATCH(D55,Table3[MD (m)],0)):INDEX(Table3[TVD (m)],MATCH(E55,Table3[MD (m)],0)),INDEX(Table3[MD (m)],MATCH(D55,Table3[MD (m)],0)):INDEX(Table3[MD (m)],MATCH(E55,Table3[MD (m)],0)))</f>
        <v>2779.6096962374872</v>
      </c>
      <c r="D55" s="23" cm="1">
        <f t="array" ref="D55">MAX(IF(Table3[MD (m)]&lt;=B55,Table3[MD (m)]))</f>
        <v>3648.08</v>
      </c>
      <c r="E55" s="23" cm="1">
        <f t="array" ref="E55">MIN(IF(Table3[MD (m)]&gt;=B55,Table3[MD (m)]))</f>
        <v>3677.05</v>
      </c>
    </row>
    <row r="56" spans="2:5" x14ac:dyDescent="0.2">
      <c r="B56" s="17">
        <v>3659</v>
      </c>
      <c r="C56" s="26">
        <f>FORECAST(B56,INDEX(Table3[TVD (m)],MATCH(D56,Table3[MD (m)],0)):INDEX(Table3[TVD (m)],MATCH(E56,Table3[MD (m)],0)),INDEX(Table3[MD (m)],MATCH(D56,Table3[MD (m)],0)):INDEX(Table3[MD (m)],MATCH(E56,Table3[MD (m)],0)))</f>
        <v>2779.6770072488785</v>
      </c>
      <c r="D56" s="23" cm="1">
        <f t="array" ref="D56">MAX(IF(Table3[MD (m)]&lt;=B56,Table3[MD (m)]))</f>
        <v>3648.08</v>
      </c>
      <c r="E56" s="23" cm="1">
        <f t="array" ref="E56">MIN(IF(Table3[MD (m)]&gt;=B56,Table3[MD (m)]))</f>
        <v>3677.05</v>
      </c>
    </row>
    <row r="57" spans="2:5" x14ac:dyDescent="0.2">
      <c r="B57" s="13">
        <v>3666.5</v>
      </c>
      <c r="C57" s="25">
        <f>FORECAST(B57,INDEX(Table3[TVD (m)],MATCH(D57,Table3[MD (m)],0)):INDEX(Table3[TVD (m)],MATCH(E57,Table3[MD (m)],0)),INDEX(Table3[MD (m)],MATCH(D57,Table3[MD (m)],0)):INDEX(Table3[MD (m)],MATCH(E57,Table3[MD (m)],0)))</f>
        <v>2779.7779737659648</v>
      </c>
      <c r="D57" s="23" cm="1">
        <f t="array" ref="D57">MAX(IF(Table3[MD (m)]&lt;=B57,Table3[MD (m)]))</f>
        <v>3648.08</v>
      </c>
      <c r="E57" s="23" cm="1">
        <f t="array" ref="E57">MIN(IF(Table3[MD (m)]&gt;=B57,Table3[MD (m)]))</f>
        <v>3677.05</v>
      </c>
    </row>
    <row r="58" spans="2:5" x14ac:dyDescent="0.2">
      <c r="B58" s="12">
        <v>3679</v>
      </c>
      <c r="C58" s="25">
        <f>FORECAST(B58,INDEX(Table3[TVD (m)],MATCH(D58,Table3[MD (m)],0)):INDEX(Table3[TVD (m)],MATCH(E58,Table3[MD (m)],0)),INDEX(Table3[MD (m)],MATCH(D58,Table3[MD (m)],0)):INDEX(Table3[MD (m)],MATCH(E58,Table3[MD (m)],0)))</f>
        <v>2779.9462422360243</v>
      </c>
      <c r="D58" s="23" cm="1">
        <f t="array" ref="D58">MAX(IF(Table3[MD (m)]&lt;=B58,Table3[MD (m)]))</f>
        <v>3677.05</v>
      </c>
      <c r="E58" s="23" cm="1">
        <f t="array" ref="E58">MIN(IF(Table3[MD (m)]&gt;=B58,Table3[MD (m)]))</f>
        <v>3706.03</v>
      </c>
    </row>
    <row r="59" spans="2:5" x14ac:dyDescent="0.2">
      <c r="B59" s="13">
        <v>3691.5</v>
      </c>
      <c r="C59" s="25">
        <f>FORECAST(B59,INDEX(Table3[TVD (m)],MATCH(D59,Table3[MD (m)],0)):INDEX(Table3[TVD (m)],MATCH(E59,Table3[MD (m)],0)),INDEX(Table3[MD (m)],MATCH(D59,Table3[MD (m)],0)):INDEX(Table3[MD (m)],MATCH(E59,Table3[MD (m)],0)))</f>
        <v>2780.1144616977222</v>
      </c>
      <c r="D59" s="23" cm="1">
        <f t="array" ref="D59">MAX(IF(Table3[MD (m)]&lt;=B59,Table3[MD (m)]))</f>
        <v>3677.05</v>
      </c>
      <c r="E59" s="23" cm="1">
        <f t="array" ref="E59">MIN(IF(Table3[MD (m)]&gt;=B59,Table3[MD (m)]))</f>
        <v>3706.03</v>
      </c>
    </row>
    <row r="60" spans="2:5" x14ac:dyDescent="0.2">
      <c r="B60" s="12">
        <v>3704</v>
      </c>
      <c r="C60" s="25">
        <f>FORECAST(B60,INDEX(Table3[TVD (m)],MATCH(D60,Table3[MD (m)],0)):INDEX(Table3[TVD (m)],MATCH(E60,Table3[MD (m)],0)),INDEX(Table3[MD (m)],MATCH(D60,Table3[MD (m)],0)):INDEX(Table3[MD (m)],MATCH(E60,Table3[MD (m)],0)))</f>
        <v>2780.28268115942</v>
      </c>
      <c r="D60" s="23" cm="1">
        <f t="array" ref="D60">MAX(IF(Table3[MD (m)]&lt;=B60,Table3[MD (m)]))</f>
        <v>3677.05</v>
      </c>
      <c r="E60" s="23" cm="1">
        <f t="array" ref="E60">MIN(IF(Table3[MD (m)]&gt;=B60,Table3[MD (m)]))</f>
        <v>3706.03</v>
      </c>
    </row>
    <row r="61" spans="2:5" x14ac:dyDescent="0.2">
      <c r="B61" s="16">
        <v>3709</v>
      </c>
      <c r="C61" s="26">
        <f>FORECAST(B61,INDEX(Table3[TVD (m)],MATCH(D61,Table3[MD (m)],0)):INDEX(Table3[TVD (m)],MATCH(E61,Table3[MD (m)],0)),INDEX(Table3[MD (m)],MATCH(D61,Table3[MD (m)],0)):INDEX(Table3[MD (m)],MATCH(E61,Table3[MD (m)],0)))</f>
        <v>2780.3475785340315</v>
      </c>
      <c r="D61" s="23" cm="1">
        <f t="array" ref="D61">MAX(IF(Table3[MD (m)]&lt;=B61,Table3[MD (m)]))</f>
        <v>3706.03</v>
      </c>
      <c r="E61" s="23" cm="1">
        <f t="array" ref="E61">MIN(IF(Table3[MD (m)]&gt;=B61,Table3[MD (m)]))</f>
        <v>3728.95</v>
      </c>
    </row>
    <row r="62" spans="2:5" x14ac:dyDescent="0.2">
      <c r="B62" s="10">
        <v>3862.9</v>
      </c>
      <c r="C62" s="25">
        <f>FORECAST(B62,INDEX(Table3[TVD (m)],MATCH(D62,Table3[MD (m)],0)):INDEX(Table3[TVD (m)],MATCH(E62,Table3[MD (m)],0)),INDEX(Table3[MD (m)],MATCH(D62,Table3[MD (m)],0)):INDEX(Table3[MD (m)],MATCH(E62,Table3[MD (m)],0)))</f>
        <v>2782.1743207742829</v>
      </c>
      <c r="D62" s="23" cm="1">
        <f t="array" ref="D62">MAX(IF(Table3[MD (m)]&lt;=B62,Table3[MD (m)]))</f>
        <v>3845.51</v>
      </c>
      <c r="E62" s="23" cm="1">
        <f t="array" ref="E62">MIN(IF(Table3[MD (m)]&gt;=B62,Table3[MD (m)]))</f>
        <v>3874.44</v>
      </c>
    </row>
    <row r="63" spans="2:5" x14ac:dyDescent="0.2">
      <c r="B63" s="13">
        <v>3870.4</v>
      </c>
      <c r="C63" s="25">
        <f>FORECAST(B63,INDEX(Table3[TVD (m)],MATCH(D63,Table3[MD (m)],0)):INDEX(Table3[TVD (m)],MATCH(E63,Table3[MD (m)],0)),INDEX(Table3[MD (m)],MATCH(D63,Table3[MD (m)],0)):INDEX(Table3[MD (m)],MATCH(E63,Table3[MD (m)],0)))</f>
        <v>2782.2495022468029</v>
      </c>
      <c r="D63" s="23" cm="1">
        <f t="array" ref="D63">MAX(IF(Table3[MD (m)]&lt;=B63,Table3[MD (m)]))</f>
        <v>3845.51</v>
      </c>
      <c r="E63" s="23" cm="1">
        <f t="array" ref="E63">MIN(IF(Table3[MD (m)]&gt;=B63,Table3[MD (m)]))</f>
        <v>3874.44</v>
      </c>
    </row>
    <row r="64" spans="2:5" x14ac:dyDescent="0.2">
      <c r="B64" s="12">
        <v>3882.9</v>
      </c>
      <c r="C64" s="25">
        <f>FORECAST(B64,INDEX(Table3[TVD (m)],MATCH(D64,Table3[MD (m)],0)):INDEX(Table3[TVD (m)],MATCH(E64,Table3[MD (m)],0)),INDEX(Table3[MD (m)],MATCH(D64,Table3[MD (m)],0)):INDEX(Table3[MD (m)],MATCH(E64,Table3[MD (m)],0)))</f>
        <v>2782.3885068493155</v>
      </c>
      <c r="D64" s="23" cm="1">
        <f t="array" ref="D64">MAX(IF(Table3[MD (m)]&lt;=B64,Table3[MD (m)]))</f>
        <v>3874.44</v>
      </c>
      <c r="E64" s="23" cm="1">
        <f t="array" ref="E64">MIN(IF(Table3[MD (m)]&gt;=B64,Table3[MD (m)]))</f>
        <v>3903.64</v>
      </c>
    </row>
    <row r="65" spans="2:5" x14ac:dyDescent="0.2">
      <c r="B65" s="13">
        <v>3895.4</v>
      </c>
      <c r="C65" s="25">
        <f>FORECAST(B65,INDEX(Table3[TVD (m)],MATCH(D65,Table3[MD (m)],0)):INDEX(Table3[TVD (m)],MATCH(E65,Table3[MD (m)],0)),INDEX(Table3[MD (m)],MATCH(D65,Table3[MD (m)],0)):INDEX(Table3[MD (m)],MATCH(E65,Table3[MD (m)],0)))</f>
        <v>2782.5340547945207</v>
      </c>
      <c r="D65" s="23" cm="1">
        <f t="array" ref="D65">MAX(IF(Table3[MD (m)]&lt;=B65,Table3[MD (m)]))</f>
        <v>3874.44</v>
      </c>
      <c r="E65" s="23" cm="1">
        <f t="array" ref="E65">MIN(IF(Table3[MD (m)]&gt;=B65,Table3[MD (m)]))</f>
        <v>3903.64</v>
      </c>
    </row>
    <row r="66" spans="2:5" x14ac:dyDescent="0.2">
      <c r="B66" s="12">
        <v>3907.9</v>
      </c>
      <c r="C66" s="25">
        <f>FORECAST(B66,INDEX(Table3[TVD (m)],MATCH(D66,Table3[MD (m)],0)):INDEX(Table3[TVD (m)],MATCH(E66,Table3[MD (m)],0)),INDEX(Table3[MD (m)],MATCH(D66,Table3[MD (m)],0)):INDEX(Table3[MD (m)],MATCH(E66,Table3[MD (m)],0)))</f>
        <v>2782.692254697286</v>
      </c>
      <c r="D66" s="23" cm="1">
        <f t="array" ref="D66">MAX(IF(Table3[MD (m)]&lt;=B66,Table3[MD (m)]))</f>
        <v>3903.64</v>
      </c>
      <c r="E66" s="23" cm="1">
        <f t="array" ref="E66">MIN(IF(Table3[MD (m)]&gt;=B66,Table3[MD (m)]))</f>
        <v>3932.38</v>
      </c>
    </row>
    <row r="67" spans="2:5" x14ac:dyDescent="0.2">
      <c r="B67" s="16">
        <v>3912.9</v>
      </c>
      <c r="C67" s="26">
        <f>FORECAST(B67,INDEX(Table3[TVD (m)],MATCH(D67,Table3[MD (m)],0)):INDEX(Table3[TVD (m)],MATCH(E67,Table3[MD (m)],0)),INDEX(Table3[MD (m)],MATCH(D67,Table3[MD (m)],0)):INDEX(Table3[MD (m)],MATCH(E67,Table3[MD (m)],0)))</f>
        <v>2782.7653235908142</v>
      </c>
      <c r="D67" s="23" cm="1">
        <f t="array" ref="D67">MAX(IF(Table3[MD (m)]&lt;=B67,Table3[MD (m)]))</f>
        <v>3903.64</v>
      </c>
      <c r="E67" s="23" cm="1">
        <f t="array" ref="E67">MIN(IF(Table3[MD (m)]&gt;=B67,Table3[MD (m)]))</f>
        <v>3932.38</v>
      </c>
    </row>
    <row r="68" spans="2:5" x14ac:dyDescent="0.2">
      <c r="B68" s="12">
        <v>3920.4</v>
      </c>
      <c r="C68" s="25">
        <f>FORECAST(B68,INDEX(Table3[TVD (m)],MATCH(D68,Table3[MD (m)],0)):INDEX(Table3[TVD (m)],MATCH(E68,Table3[MD (m)],0)),INDEX(Table3[MD (m)],MATCH(D68,Table3[MD (m)],0)):INDEX(Table3[MD (m)],MATCH(E68,Table3[MD (m)],0)))</f>
        <v>2782.8749269311065</v>
      </c>
      <c r="D68" s="23" cm="1">
        <f t="array" ref="D68">MAX(IF(Table3[MD (m)]&lt;=B68,Table3[MD (m)]))</f>
        <v>3903.64</v>
      </c>
      <c r="E68" s="23" cm="1">
        <f t="array" ref="E68">MIN(IF(Table3[MD (m)]&gt;=B68,Table3[MD (m)]))</f>
        <v>3932.38</v>
      </c>
    </row>
    <row r="69" spans="2:5" x14ac:dyDescent="0.2">
      <c r="B69" s="13">
        <v>3932.9</v>
      </c>
      <c r="C69" s="25">
        <f>FORECAST(B69,INDEX(Table3[TVD (m)],MATCH(D69,Table3[MD (m)],0)):INDEX(Table3[TVD (m)],MATCH(E69,Table3[MD (m)],0)),INDEX(Table3[MD (m)],MATCH(D69,Table3[MD (m)],0)):INDEX(Table3[MD (m)],MATCH(E69,Table3[MD (m)],0)))</f>
        <v>2783.0579416869145</v>
      </c>
      <c r="D69" s="23" cm="1">
        <f t="array" ref="D69">MAX(IF(Table3[MD (m)]&lt;=B69,Table3[MD (m)]))</f>
        <v>3932.38</v>
      </c>
      <c r="E69" s="23" cm="1">
        <f t="array" ref="E69">MIN(IF(Table3[MD (m)]&gt;=B69,Table3[MD (m)]))</f>
        <v>3961.19</v>
      </c>
    </row>
    <row r="70" spans="2:5" x14ac:dyDescent="0.2">
      <c r="B70" s="12">
        <v>3945.4</v>
      </c>
      <c r="C70" s="25">
        <f>FORECAST(B70,INDEX(Table3[TVD (m)],MATCH(D70,Table3[MD (m)],0)):INDEX(Table3[TVD (m)],MATCH(E70,Table3[MD (m)],0)),INDEX(Table3[MD (m)],MATCH(D70,Table3[MD (m)],0)):INDEX(Table3[MD (m)],MATCH(E70,Table3[MD (m)],0)))</f>
        <v>2783.2488476223534</v>
      </c>
      <c r="D70" s="23" cm="1">
        <f t="array" ref="D70">MAX(IF(Table3[MD (m)]&lt;=B70,Table3[MD (m)]))</f>
        <v>3932.38</v>
      </c>
      <c r="E70" s="23" cm="1">
        <f t="array" ref="E70">MIN(IF(Table3[MD (m)]&gt;=B70,Table3[MD (m)]))</f>
        <v>3961.19</v>
      </c>
    </row>
    <row r="71" spans="2:5" x14ac:dyDescent="0.2">
      <c r="B71" s="13">
        <v>3957.9</v>
      </c>
      <c r="C71" s="25">
        <f>FORECAST(B71,INDEX(Table3[TVD (m)],MATCH(D71,Table3[MD (m)],0)):INDEX(Table3[TVD (m)],MATCH(E71,Table3[MD (m)],0)),INDEX(Table3[MD (m)],MATCH(D71,Table3[MD (m)],0)):INDEX(Table3[MD (m)],MATCH(E71,Table3[MD (m)],0)))</f>
        <v>2783.4397535577923</v>
      </c>
      <c r="D71" s="23" cm="1">
        <f t="array" ref="D71">MAX(IF(Table3[MD (m)]&lt;=B71,Table3[MD (m)]))</f>
        <v>3932.38</v>
      </c>
      <c r="E71" s="23" cm="1">
        <f t="array" ref="E71">MIN(IF(Table3[MD (m)]&gt;=B71,Table3[MD (m)]))</f>
        <v>3961.19</v>
      </c>
    </row>
    <row r="72" spans="2:5" x14ac:dyDescent="0.2">
      <c r="B72" s="17">
        <v>3962.9</v>
      </c>
      <c r="C72" s="26">
        <f>FORECAST(B72,INDEX(Table3[TVD (m)],MATCH(D72,Table3[MD (m)],0)):INDEX(Table3[TVD (m)],MATCH(E72,Table3[MD (m)],0)),INDEX(Table3[MD (m)],MATCH(D72,Table3[MD (m)],0)):INDEX(Table3[MD (m)],MATCH(E72,Table3[MD (m)],0)))</f>
        <v>2783.5135699517568</v>
      </c>
      <c r="D72" s="23" cm="1">
        <f t="array" ref="D72">MAX(IF(Table3[MD (m)]&lt;=B72,Table3[MD (m)]))</f>
        <v>3961.19</v>
      </c>
      <c r="E72" s="23" cm="1">
        <f t="array" ref="E72">MIN(IF(Table3[MD (m)]&gt;=B72,Table3[MD (m)]))</f>
        <v>3990.21</v>
      </c>
    </row>
    <row r="73" spans="2:5" x14ac:dyDescent="0.2">
      <c r="B73" s="13">
        <v>3970.4</v>
      </c>
      <c r="C73" s="25">
        <f>FORECAST(B73,INDEX(Table3[TVD (m)],MATCH(D73,Table3[MD (m)],0)):INDEX(Table3[TVD (m)],MATCH(E73,Table3[MD (m)],0)),INDEX(Table3[MD (m)],MATCH(D73,Table3[MD (m)],0)):INDEX(Table3[MD (m)],MATCH(E73,Table3[MD (m)],0)))</f>
        <v>2783.6169469331489</v>
      </c>
      <c r="D73" s="23" cm="1">
        <f t="array" ref="D73">MAX(IF(Table3[MD (m)]&lt;=B73,Table3[MD (m)]))</f>
        <v>3961.19</v>
      </c>
      <c r="E73" s="23" cm="1">
        <f t="array" ref="E73">MIN(IF(Table3[MD (m)]&gt;=B73,Table3[MD (m)]))</f>
        <v>3990.21</v>
      </c>
    </row>
    <row r="74" spans="2:5" x14ac:dyDescent="0.2">
      <c r="B74" s="12">
        <v>3982.9</v>
      </c>
      <c r="C74" s="25">
        <f>FORECAST(B74,INDEX(Table3[TVD (m)],MATCH(D74,Table3[MD (m)],0)):INDEX(Table3[TVD (m)],MATCH(E74,Table3[MD (m)],0)),INDEX(Table3[MD (m)],MATCH(D74,Table3[MD (m)],0)):INDEX(Table3[MD (m)],MATCH(E74,Table3[MD (m)],0)))</f>
        <v>2783.7892419021359</v>
      </c>
      <c r="D74" s="23" cm="1">
        <f t="array" ref="D74">MAX(IF(Table3[MD (m)]&lt;=B74,Table3[MD (m)]))</f>
        <v>3961.19</v>
      </c>
      <c r="E74" s="23" cm="1">
        <f t="array" ref="E74">MIN(IF(Table3[MD (m)]&gt;=B74,Table3[MD (m)]))</f>
        <v>3990.21</v>
      </c>
    </row>
    <row r="75" spans="2:5" x14ac:dyDescent="0.2">
      <c r="B75" s="13">
        <v>3995.4</v>
      </c>
      <c r="C75" s="25">
        <f>FORECAST(B75,INDEX(Table3[TVD (m)],MATCH(D75,Table3[MD (m)],0)):INDEX(Table3[TVD (m)],MATCH(E75,Table3[MD (m)],0)),INDEX(Table3[MD (m)],MATCH(D75,Table3[MD (m)],0)):INDEX(Table3[MD (m)],MATCH(E75,Table3[MD (m)],0)))</f>
        <v>2783.9668756458836</v>
      </c>
      <c r="D75" s="23" cm="1">
        <f t="array" ref="D75">MAX(IF(Table3[MD (m)]&lt;=B75,Table3[MD (m)]))</f>
        <v>3990.21</v>
      </c>
      <c r="E75" s="23" cm="1">
        <f t="array" ref="E75">MIN(IF(Table3[MD (m)]&gt;=B75,Table3[MD (m)]))</f>
        <v>4019.24</v>
      </c>
    </row>
    <row r="76" spans="2:5" x14ac:dyDescent="0.2">
      <c r="B76" s="12">
        <v>4007.9</v>
      </c>
      <c r="C76" s="25">
        <f>FORECAST(B76,INDEX(Table3[TVD (m)],MATCH(D76,Table3[MD (m)],0)):INDEX(Table3[TVD (m)],MATCH(E76,Table3[MD (m)],0)),INDEX(Table3[MD (m)],MATCH(D76,Table3[MD (m)],0)):INDEX(Table3[MD (m)],MATCH(E76,Table3[MD (m)],0)))</f>
        <v>2784.152028935584</v>
      </c>
      <c r="D76" s="23" cm="1">
        <f t="array" ref="D76">MAX(IF(Table3[MD (m)]&lt;=B76,Table3[MD (m)]))</f>
        <v>3990.21</v>
      </c>
      <c r="E76" s="23" cm="1">
        <f t="array" ref="E76">MIN(IF(Table3[MD (m)]&gt;=B76,Table3[MD (m)]))</f>
        <v>4019.24</v>
      </c>
    </row>
    <row r="77" spans="2:5" x14ac:dyDescent="0.2">
      <c r="B77" s="16">
        <v>4012.9</v>
      </c>
      <c r="C77" s="26">
        <f>FORECAST(B77,INDEX(Table3[TVD (m)],MATCH(D77,Table3[MD (m)],0)):INDEX(Table3[TVD (m)],MATCH(E77,Table3[MD (m)],0)),INDEX(Table3[MD (m)],MATCH(D77,Table3[MD (m)],0)):INDEX(Table3[MD (m)],MATCH(E77,Table3[MD (m)],0)))</f>
        <v>2784.226090251464</v>
      </c>
      <c r="D77" s="23" cm="1">
        <f t="array" ref="D77">MAX(IF(Table3[MD (m)]&lt;=B77,Table3[MD (m)]))</f>
        <v>3990.21</v>
      </c>
      <c r="E77" s="23" cm="1">
        <f t="array" ref="E77">MIN(IF(Table3[MD (m)]&gt;=B77,Table3[MD (m)]))</f>
        <v>4019.24</v>
      </c>
    </row>
    <row r="78" spans="2:5" x14ac:dyDescent="0.2">
      <c r="B78" s="12">
        <v>4020.4</v>
      </c>
      <c r="C78" s="25">
        <f>FORECAST(B78,INDEX(Table3[TVD (m)],MATCH(D78,Table3[MD (m)],0)):INDEX(Table3[TVD (m)],MATCH(E78,Table3[MD (m)],0)),INDEX(Table3[MD (m)],MATCH(D78,Table3[MD (m)],0)):INDEX(Table3[MD (m)],MATCH(E78,Table3[MD (m)],0)))</f>
        <v>2784.3364056571231</v>
      </c>
      <c r="D78" s="23" cm="1">
        <f t="array" ref="D78">MAX(IF(Table3[MD (m)]&lt;=B78,Table3[MD (m)]))</f>
        <v>4019.24</v>
      </c>
      <c r="E78" s="23" cm="1">
        <f t="array" ref="E78">MIN(IF(Table3[MD (m)]&gt;=B78,Table3[MD (m)]))</f>
        <v>4048.23</v>
      </c>
    </row>
    <row r="79" spans="2:5" x14ac:dyDescent="0.2">
      <c r="B79" s="13">
        <v>4032.9</v>
      </c>
      <c r="C79" s="25">
        <f>FORECAST(B79,INDEX(Table3[TVD (m)],MATCH(D79,Table3[MD (m)],0)):INDEX(Table3[TVD (m)],MATCH(E79,Table3[MD (m)],0)),INDEX(Table3[MD (m)],MATCH(D79,Table3[MD (m)],0)):INDEX(Table3[MD (m)],MATCH(E79,Table3[MD (m)],0)))</f>
        <v>2784.5131907554328</v>
      </c>
      <c r="D79" s="23" cm="1">
        <f t="array" ref="D79">MAX(IF(Table3[MD (m)]&lt;=B79,Table3[MD (m)]))</f>
        <v>4019.24</v>
      </c>
      <c r="E79" s="23" cm="1">
        <f t="array" ref="E79">MIN(IF(Table3[MD (m)]&gt;=B79,Table3[MD (m)]))</f>
        <v>4048.23</v>
      </c>
    </row>
    <row r="80" spans="2:5" x14ac:dyDescent="0.2">
      <c r="B80" s="12">
        <v>4045.4</v>
      </c>
      <c r="C80" s="25">
        <f>FORECAST(B80,INDEX(Table3[TVD (m)],MATCH(D80,Table3[MD (m)],0)):INDEX(Table3[TVD (m)],MATCH(E80,Table3[MD (m)],0)),INDEX(Table3[MD (m)],MATCH(D80,Table3[MD (m)],0)):INDEX(Table3[MD (m)],MATCH(E80,Table3[MD (m)],0)))</f>
        <v>2784.6899758537425</v>
      </c>
      <c r="D80" s="23" cm="1">
        <f t="array" ref="D80">MAX(IF(Table3[MD (m)]&lt;=B80,Table3[MD (m)]))</f>
        <v>4019.24</v>
      </c>
      <c r="E80" s="23" cm="1">
        <f t="array" ref="E80">MIN(IF(Table3[MD (m)]&gt;=B80,Table3[MD (m)]))</f>
        <v>4048.23</v>
      </c>
    </row>
    <row r="81" spans="2:5" x14ac:dyDescent="0.2">
      <c r="B81" s="13">
        <v>4057.9</v>
      </c>
      <c r="C81" s="25">
        <f>FORECAST(B81,INDEX(Table3[TVD (m)],MATCH(D81,Table3[MD (m)],0)):INDEX(Table3[TVD (m)],MATCH(E81,Table3[MD (m)],0)),INDEX(Table3[MD (m)],MATCH(D81,Table3[MD (m)],0)):INDEX(Table3[MD (m)],MATCH(E81,Table3[MD (m)],0)))</f>
        <v>2784.8566666666666</v>
      </c>
      <c r="D81" s="23" cm="1">
        <f t="array" ref="D81">MAX(IF(Table3[MD (m)]&lt;=B81,Table3[MD (m)]))</f>
        <v>4048.23</v>
      </c>
      <c r="E81" s="23" cm="1">
        <f t="array" ref="E81">MIN(IF(Table3[MD (m)]&gt;=B81,Table3[MD (m)]))</f>
        <v>4077.24</v>
      </c>
    </row>
    <row r="82" spans="2:5" x14ac:dyDescent="0.2">
      <c r="B82" s="17">
        <v>4062.9</v>
      </c>
      <c r="C82" s="26">
        <f>FORECAST(B82,INDEX(Table3[TVD (m)],MATCH(D82,Table3[MD (m)],0)):INDEX(Table3[TVD (m)],MATCH(E82,Table3[MD (m)],0)),INDEX(Table3[MD (m)],MATCH(D82,Table3[MD (m)],0)):INDEX(Table3[MD (m)],MATCH(E82,Table3[MD (m)],0)))</f>
        <v>2784.9221613236814</v>
      </c>
      <c r="D82" s="23" cm="1">
        <f t="array" ref="D82">MAX(IF(Table3[MD (m)]&lt;=B82,Table3[MD (m)]))</f>
        <v>4048.23</v>
      </c>
      <c r="E82" s="23" cm="1">
        <f t="array" ref="E82">MIN(IF(Table3[MD (m)]&gt;=B82,Table3[MD (m)]))</f>
        <v>4077.24</v>
      </c>
    </row>
    <row r="83" spans="2:5" x14ac:dyDescent="0.2">
      <c r="B83" s="13">
        <v>4070.4</v>
      </c>
      <c r="C83" s="25">
        <f>FORECAST(B83,INDEX(Table3[TVD (m)],MATCH(D83,Table3[MD (m)],0)):INDEX(Table3[TVD (m)],MATCH(E83,Table3[MD (m)],0)),INDEX(Table3[MD (m)],MATCH(D83,Table3[MD (m)],0)):INDEX(Table3[MD (m)],MATCH(E83,Table3[MD (m)],0)))</f>
        <v>2785.0204033092036</v>
      </c>
      <c r="D83" s="23" cm="1">
        <f t="array" ref="D83">MAX(IF(Table3[MD (m)]&lt;=B83,Table3[MD (m)]))</f>
        <v>4048.23</v>
      </c>
      <c r="E83" s="23" cm="1">
        <f t="array" ref="E83">MIN(IF(Table3[MD (m)]&gt;=B83,Table3[MD (m)]))</f>
        <v>4077.24</v>
      </c>
    </row>
    <row r="84" spans="2:5" x14ac:dyDescent="0.2">
      <c r="B84" s="12">
        <v>4082.9</v>
      </c>
      <c r="C84" s="25">
        <f>FORECAST(B84,INDEX(Table3[TVD (m)],MATCH(D84,Table3[MD (m)],0)):INDEX(Table3[TVD (m)],MATCH(E84,Table3[MD (m)],0)),INDEX(Table3[MD (m)],MATCH(D84,Table3[MD (m)],0)):INDEX(Table3[MD (m)],MATCH(E84,Table3[MD (m)],0)))</f>
        <v>2785.1805295950157</v>
      </c>
      <c r="D84" s="23" cm="1">
        <f t="array" ref="D84">MAX(IF(Table3[MD (m)]&lt;=B84,Table3[MD (m)]))</f>
        <v>4077.24</v>
      </c>
      <c r="E84" s="23" cm="1">
        <f t="array" ref="E84">MIN(IF(Table3[MD (m)]&gt;=B84,Table3[MD (m)]))</f>
        <v>4106.13</v>
      </c>
    </row>
    <row r="85" spans="2:5" x14ac:dyDescent="0.2">
      <c r="B85" s="13">
        <v>4095.4</v>
      </c>
      <c r="C85" s="25">
        <f>FORECAST(B85,INDEX(Table3[TVD (m)],MATCH(D85,Table3[MD (m)],0)):INDEX(Table3[TVD (m)],MATCH(E85,Table3[MD (m)],0)),INDEX(Table3[MD (m)],MATCH(D85,Table3[MD (m)],0)):INDEX(Table3[MD (m)],MATCH(E85,Table3[MD (m)],0)))</f>
        <v>2785.3362928348911</v>
      </c>
      <c r="D85" s="23" cm="1">
        <f t="array" ref="D85">MAX(IF(Table3[MD (m)]&lt;=B85,Table3[MD (m)]))</f>
        <v>4077.24</v>
      </c>
      <c r="E85" s="23" cm="1">
        <f t="array" ref="E85">MIN(IF(Table3[MD (m)]&gt;=B85,Table3[MD (m)]))</f>
        <v>4106.13</v>
      </c>
    </row>
    <row r="86" spans="2:5" x14ac:dyDescent="0.2">
      <c r="B86" s="12">
        <v>4107.8999999999996</v>
      </c>
      <c r="C86" s="25">
        <f>FORECAST(B86,INDEX(Table3[TVD (m)],MATCH(D86,Table3[MD (m)],0)):INDEX(Table3[TVD (m)],MATCH(E86,Table3[MD (m)],0)),INDEX(Table3[MD (m)],MATCH(D86,Table3[MD (m)],0)):INDEX(Table3[MD (m)],MATCH(E86,Table3[MD (m)],0)))</f>
        <v>2785.4869900582785</v>
      </c>
      <c r="D86" s="23" cm="1">
        <f t="array" ref="D86">MAX(IF(Table3[MD (m)]&lt;=B86,Table3[MD (m)]))</f>
        <v>4106.13</v>
      </c>
      <c r="E86" s="23" cm="1">
        <f t="array" ref="E86">MIN(IF(Table3[MD (m)]&gt;=B86,Table3[MD (m)]))</f>
        <v>4135.3</v>
      </c>
    </row>
    <row r="87" spans="2:5" x14ac:dyDescent="0.2">
      <c r="B87" s="16">
        <v>4112.8999999999996</v>
      </c>
      <c r="C87" s="26">
        <f>FORECAST(B87,INDEX(Table3[TVD (m)],MATCH(D87,Table3[MD (m)],0)):INDEX(Table3[TVD (m)],MATCH(E87,Table3[MD (m)],0)),INDEX(Table3[MD (m)],MATCH(D87,Table3[MD (m)],0)):INDEX(Table3[MD (m)],MATCH(E87,Table3[MD (m)],0)))</f>
        <v>2785.5349845731912</v>
      </c>
      <c r="D87" s="23" cm="1">
        <f t="array" ref="D87">MAX(IF(Table3[MD (m)]&lt;=B87,Table3[MD (m)]))</f>
        <v>4106.13</v>
      </c>
      <c r="E87" s="23" cm="1">
        <f t="array" ref="E87">MIN(IF(Table3[MD (m)]&gt;=B87,Table3[MD (m)]))</f>
        <v>4135.3</v>
      </c>
    </row>
    <row r="88" spans="2:5" x14ac:dyDescent="0.2">
      <c r="B88" s="10">
        <v>4208.3</v>
      </c>
      <c r="C88" s="25">
        <f>FORECAST(B88,INDEX(Table3[TVD (m)],MATCH(D88,Table3[MD (m)],0)):INDEX(Table3[TVD (m)],MATCH(E88,Table3[MD (m)],0)),INDEX(Table3[MD (m)],MATCH(D88,Table3[MD (m)],0)):INDEX(Table3[MD (m)],MATCH(E88,Table3[MD (m)],0)))</f>
        <v>2786.2772930492488</v>
      </c>
      <c r="D88" s="23" cm="1">
        <f t="array" ref="D88">MAX(IF(Table3[MD (m)]&lt;=B88,Table3[MD (m)]))</f>
        <v>4193.21</v>
      </c>
      <c r="E88" s="23" cm="1">
        <f t="array" ref="E88">MIN(IF(Table3[MD (m)]&gt;=B88,Table3[MD (m)]))</f>
        <v>4221.84</v>
      </c>
    </row>
    <row r="89" spans="2:5" x14ac:dyDescent="0.2">
      <c r="B89" s="13">
        <v>4215.8</v>
      </c>
      <c r="C89" s="25">
        <f>FORECAST(B89,INDEX(Table3[TVD (m)],MATCH(D89,Table3[MD (m)],0)):INDEX(Table3[TVD (m)],MATCH(E89,Table3[MD (m)],0)),INDEX(Table3[MD (m)],MATCH(D89,Table3[MD (m)],0)):INDEX(Table3[MD (m)],MATCH(E89,Table3[MD (m)],0)))</f>
        <v>2786.2510967516591</v>
      </c>
      <c r="D89" s="23" cm="1">
        <f t="array" ref="D89">MAX(IF(Table3[MD (m)]&lt;=B89,Table3[MD (m)]))</f>
        <v>4193.21</v>
      </c>
      <c r="E89" s="23" cm="1">
        <f t="array" ref="E89">MIN(IF(Table3[MD (m)]&gt;=B89,Table3[MD (m)]))</f>
        <v>4221.84</v>
      </c>
    </row>
    <row r="90" spans="2:5" x14ac:dyDescent="0.2">
      <c r="B90" s="12">
        <v>4228.3</v>
      </c>
      <c r="C90" s="25">
        <f>FORECAST(B90,INDEX(Table3[TVD (m)],MATCH(D90,Table3[MD (m)],0)):INDEX(Table3[TVD (m)],MATCH(E90,Table3[MD (m)],0)),INDEX(Table3[MD (m)],MATCH(D90,Table3[MD (m)],0)):INDEX(Table3[MD (m)],MATCH(E90,Table3[MD (m)],0)))</f>
        <v>2786.1422160278744</v>
      </c>
      <c r="D90" s="23" cm="1">
        <f t="array" ref="D90">MAX(IF(Table3[MD (m)]&lt;=B90,Table3[MD (m)]))</f>
        <v>4221.84</v>
      </c>
      <c r="E90" s="23" cm="1">
        <f t="array" ref="E90">MIN(IF(Table3[MD (m)]&gt;=B90,Table3[MD (m)]))</f>
        <v>4250.54</v>
      </c>
    </row>
    <row r="91" spans="2:5" x14ac:dyDescent="0.2">
      <c r="B91" s="13">
        <v>4240.8</v>
      </c>
      <c r="C91" s="25">
        <f>FORECAST(B91,INDEX(Table3[TVD (m)],MATCH(D91,Table3[MD (m)],0)):INDEX(Table3[TVD (m)],MATCH(E91,Table3[MD (m)],0)),INDEX(Table3[MD (m)],MATCH(D91,Table3[MD (m)],0)):INDEX(Table3[MD (m)],MATCH(E91,Table3[MD (m)],0)))</f>
        <v>2785.9723554006964</v>
      </c>
      <c r="D91" s="23" cm="1">
        <f t="array" ref="D91">MAX(IF(Table3[MD (m)]&lt;=B91,Table3[MD (m)]))</f>
        <v>4221.84</v>
      </c>
      <c r="E91" s="23" cm="1">
        <f t="array" ref="E91">MIN(IF(Table3[MD (m)]&gt;=B91,Table3[MD (m)]))</f>
        <v>4250.54</v>
      </c>
    </row>
    <row r="92" spans="2:5" x14ac:dyDescent="0.2">
      <c r="B92" s="12">
        <v>4253.3</v>
      </c>
      <c r="C92" s="25">
        <f>FORECAST(B92,INDEX(Table3[TVD (m)],MATCH(D92,Table3[MD (m)],0)):INDEX(Table3[TVD (m)],MATCH(E92,Table3[MD (m)],0)),INDEX(Table3[MD (m)],MATCH(D92,Table3[MD (m)],0)):INDEX(Table3[MD (m)],MATCH(E92,Table3[MD (m)],0)))</f>
        <v>2785.8076413793106</v>
      </c>
      <c r="D92" s="23" cm="1">
        <f t="array" ref="D92">MAX(IF(Table3[MD (m)]&lt;=B92,Table3[MD (m)]))</f>
        <v>4250.54</v>
      </c>
      <c r="E92" s="23" cm="1">
        <f t="array" ref="E92">MIN(IF(Table3[MD (m)]&gt;=B92,Table3[MD (m)]))</f>
        <v>4279.54</v>
      </c>
    </row>
    <row r="93" spans="2:5" x14ac:dyDescent="0.2">
      <c r="B93" s="13">
        <v>4265.8</v>
      </c>
      <c r="C93" s="25">
        <f>FORECAST(B93,INDEX(Table3[TVD (m)],MATCH(D93,Table3[MD (m)],0)):INDEX(Table3[TVD (m)],MATCH(E93,Table3[MD (m)],0)),INDEX(Table3[MD (m)],MATCH(D93,Table3[MD (m)],0)):INDEX(Table3[MD (m)],MATCH(E93,Table3[MD (m)],0)))</f>
        <v>2785.6610896551724</v>
      </c>
      <c r="D93" s="23" cm="1">
        <f t="array" ref="D93">MAX(IF(Table3[MD (m)]&lt;=B93,Table3[MD (m)]))</f>
        <v>4250.54</v>
      </c>
      <c r="E93" s="23" cm="1">
        <f t="array" ref="E93">MIN(IF(Table3[MD (m)]&gt;=B93,Table3[MD (m)]))</f>
        <v>4279.54</v>
      </c>
    </row>
    <row r="94" spans="2:5" x14ac:dyDescent="0.2">
      <c r="B94" s="12">
        <v>4278.3</v>
      </c>
      <c r="C94" s="25">
        <f>FORECAST(B94,INDEX(Table3[TVD (m)],MATCH(D94,Table3[MD (m)],0)):INDEX(Table3[TVD (m)],MATCH(E94,Table3[MD (m)],0)),INDEX(Table3[MD (m)],MATCH(D94,Table3[MD (m)],0)):INDEX(Table3[MD (m)],MATCH(E94,Table3[MD (m)],0)))</f>
        <v>2785.5145379310347</v>
      </c>
      <c r="D94" s="23" cm="1">
        <f t="array" ref="D94">MAX(IF(Table3[MD (m)]&lt;=B94,Table3[MD (m)]))</f>
        <v>4250.54</v>
      </c>
      <c r="E94" s="23" cm="1">
        <f t="array" ref="E94">MIN(IF(Table3[MD (m)]&gt;=B94,Table3[MD (m)]))</f>
        <v>4279.54</v>
      </c>
    </row>
    <row r="95" spans="2:5" x14ac:dyDescent="0.2">
      <c r="B95" s="13">
        <v>4290.8</v>
      </c>
      <c r="C95" s="25">
        <f>FORECAST(B95,INDEX(Table3[TVD (m)],MATCH(D95,Table3[MD (m)],0)):INDEX(Table3[TVD (m)],MATCH(E95,Table3[MD (m)],0)),INDEX(Table3[MD (m)],MATCH(D95,Table3[MD (m)],0)):INDEX(Table3[MD (m)],MATCH(E95,Table3[MD (m)],0)))</f>
        <v>2785.3672998266898</v>
      </c>
      <c r="D95" s="23" cm="1">
        <f t="array" ref="D95">MAX(IF(Table3[MD (m)]&lt;=B95,Table3[MD (m)]))</f>
        <v>4279.54</v>
      </c>
      <c r="E95" s="23" cm="1">
        <f t="array" ref="E95">MIN(IF(Table3[MD (m)]&gt;=B95,Table3[MD (m)]))</f>
        <v>4308.3900000000003</v>
      </c>
    </row>
    <row r="96" spans="2:5" x14ac:dyDescent="0.2">
      <c r="B96" s="12">
        <v>4303.3</v>
      </c>
      <c r="C96" s="25">
        <f>FORECAST(B96,INDEX(Table3[TVD (m)],MATCH(D96,Table3[MD (m)],0)):INDEX(Table3[TVD (m)],MATCH(E96,Table3[MD (m)],0)),INDEX(Table3[MD (m)],MATCH(D96,Table3[MD (m)],0)):INDEX(Table3[MD (m)],MATCH(E96,Table3[MD (m)],0)))</f>
        <v>2785.2199861351819</v>
      </c>
      <c r="D96" s="23" cm="1">
        <f t="array" ref="D96">MAX(IF(Table3[MD (m)]&lt;=B96,Table3[MD (m)]))</f>
        <v>4279.54</v>
      </c>
      <c r="E96" s="23" cm="1">
        <f t="array" ref="E96">MIN(IF(Table3[MD (m)]&gt;=B96,Table3[MD (m)]))</f>
        <v>4308.3900000000003</v>
      </c>
    </row>
    <row r="97" spans="2:5" x14ac:dyDescent="0.2">
      <c r="B97" s="16">
        <v>4308.3</v>
      </c>
      <c r="C97" s="26">
        <f>FORECAST(B97,INDEX(Table3[TVD (m)],MATCH(D97,Table3[MD (m)],0)):INDEX(Table3[TVD (m)],MATCH(E97,Table3[MD (m)],0)),INDEX(Table3[MD (m)],MATCH(D97,Table3[MD (m)],0)):INDEX(Table3[MD (m)],MATCH(E97,Table3[MD (m)],0)))</f>
        <v>2785.1610606585787</v>
      </c>
      <c r="D97" s="23" cm="1">
        <f t="array" ref="D97">MAX(IF(Table3[MD (m)]&lt;=B97,Table3[MD (m)]))</f>
        <v>4279.54</v>
      </c>
      <c r="E97" s="23" cm="1">
        <f t="array" ref="E97">MIN(IF(Table3[MD (m)]&gt;=B97,Table3[MD (m)]))</f>
        <v>4308.3900000000003</v>
      </c>
    </row>
    <row r="98" spans="2:5" x14ac:dyDescent="0.2">
      <c r="B98" s="12">
        <v>4315.8</v>
      </c>
      <c r="C98" s="25">
        <f>FORECAST(B98,INDEX(Table3[TVD (m)],MATCH(D98,Table3[MD (m)],0)):INDEX(Table3[TVD (m)],MATCH(E98,Table3[MD (m)],0)),INDEX(Table3[MD (m)],MATCH(D98,Table3[MD (m)],0)):INDEX(Table3[MD (m)],MATCH(E98,Table3[MD (m)],0)))</f>
        <v>2785.0446592874437</v>
      </c>
      <c r="D98" s="23" cm="1">
        <f t="array" ref="D98">MAX(IF(Table3[MD (m)]&lt;=B98,Table3[MD (m)]))</f>
        <v>4308.3900000000003</v>
      </c>
      <c r="E98" s="23" cm="1">
        <f t="array" ref="E98">MIN(IF(Table3[MD (m)]&gt;=B98,Table3[MD (m)]))</f>
        <v>4337.3</v>
      </c>
    </row>
    <row r="99" spans="2:5" x14ac:dyDescent="0.2">
      <c r="B99" s="13">
        <v>4328.3</v>
      </c>
      <c r="C99" s="25">
        <f>FORECAST(B99,INDEX(Table3[TVD (m)],MATCH(D99,Table3[MD (m)],0)):INDEX(Table3[TVD (m)],MATCH(E99,Table3[MD (m)],0)),INDEX(Table3[MD (m)],MATCH(D99,Table3[MD (m)],0)):INDEX(Table3[MD (m)],MATCH(E99,Table3[MD (m)],0)))</f>
        <v>2784.8500899342789</v>
      </c>
      <c r="D99" s="23" cm="1">
        <f t="array" ref="D99">MAX(IF(Table3[MD (m)]&lt;=B99,Table3[MD (m)]))</f>
        <v>4308.3900000000003</v>
      </c>
      <c r="E99" s="23" cm="1">
        <f t="array" ref="E99">MIN(IF(Table3[MD (m)]&gt;=B99,Table3[MD (m)]))</f>
        <v>4337.3</v>
      </c>
    </row>
    <row r="100" spans="2:5" x14ac:dyDescent="0.2">
      <c r="B100" s="12">
        <v>4340.8</v>
      </c>
      <c r="C100" s="25">
        <f>FORECAST(B100,INDEX(Table3[TVD (m)],MATCH(D100,Table3[MD (m)],0)):INDEX(Table3[TVD (m)],MATCH(E100,Table3[MD (m)],0)),INDEX(Table3[MD (m)],MATCH(D100,Table3[MD (m)],0)):INDEX(Table3[MD (m)],MATCH(E100,Table3[MD (m)],0)))</f>
        <v>2784.6773010380621</v>
      </c>
      <c r="D100" s="23" cm="1">
        <f t="array" ref="D100">MAX(IF(Table3[MD (m)]&lt;=B100,Table3[MD (m)]))</f>
        <v>4337.3</v>
      </c>
      <c r="E100" s="23" cm="1">
        <f t="array" ref="E100">MIN(IF(Table3[MD (m)]&gt;=B100,Table3[MD (m)]))</f>
        <v>4366.2</v>
      </c>
    </row>
    <row r="101" spans="2:5" x14ac:dyDescent="0.2">
      <c r="B101" s="13">
        <v>4353.3</v>
      </c>
      <c r="C101" s="25">
        <f>FORECAST(B101,INDEX(Table3[TVD (m)],MATCH(D101,Table3[MD (m)],0)):INDEX(Table3[TVD (m)],MATCH(E101,Table3[MD (m)],0)),INDEX(Table3[MD (m)],MATCH(D101,Table3[MD (m)],0)):INDEX(Table3[MD (m)],MATCH(E101,Table3[MD (m)],0)))</f>
        <v>2784.5605190311417</v>
      </c>
      <c r="D101" s="23" cm="1">
        <f t="array" ref="D101">MAX(IF(Table3[MD (m)]&lt;=B101,Table3[MD (m)]))</f>
        <v>4337.3</v>
      </c>
      <c r="E101" s="23" cm="1">
        <f t="array" ref="E101">MIN(IF(Table3[MD (m)]&gt;=B101,Table3[MD (m)]))</f>
        <v>4366.2</v>
      </c>
    </row>
    <row r="102" spans="2:5" x14ac:dyDescent="0.2">
      <c r="B102" s="12">
        <v>4365.8</v>
      </c>
      <c r="C102" s="25">
        <f>FORECAST(B102,INDEX(Table3[TVD (m)],MATCH(D102,Table3[MD (m)],0)):INDEX(Table3[TVD (m)],MATCH(E102,Table3[MD (m)],0)),INDEX(Table3[MD (m)],MATCH(D102,Table3[MD (m)],0)):INDEX(Table3[MD (m)],MATCH(E102,Table3[MD (m)],0)))</f>
        <v>2784.4437370242213</v>
      </c>
      <c r="D102" s="23" cm="1">
        <f t="array" ref="D102">MAX(IF(Table3[MD (m)]&lt;=B102,Table3[MD (m)]))</f>
        <v>4337.3</v>
      </c>
      <c r="E102" s="23" cm="1">
        <f t="array" ref="E102">MIN(IF(Table3[MD (m)]&gt;=B102,Table3[MD (m)]))</f>
        <v>4366.2</v>
      </c>
    </row>
    <row r="103" spans="2:5" x14ac:dyDescent="0.2">
      <c r="B103" s="13">
        <v>4378.3</v>
      </c>
      <c r="C103" s="25">
        <f>FORECAST(B103,INDEX(Table3[TVD (m)],MATCH(D103,Table3[MD (m)],0)):INDEX(Table3[TVD (m)],MATCH(E103,Table3[MD (m)],0)),INDEX(Table3[MD (m)],MATCH(D103,Table3[MD (m)],0)):INDEX(Table3[MD (m)],MATCH(E103,Table3[MD (m)],0)))</f>
        <v>2784.486119196119</v>
      </c>
      <c r="D103" s="23" cm="1">
        <f t="array" ref="D103">MAX(IF(Table3[MD (m)]&lt;=B103,Table3[MD (m)]))</f>
        <v>4366.2</v>
      </c>
      <c r="E103" s="23" cm="1">
        <f t="array" ref="E103">MIN(IF(Table3[MD (m)]&gt;=B103,Table3[MD (m)]))</f>
        <v>4395.0600000000004</v>
      </c>
    </row>
    <row r="104" spans="2:5" x14ac:dyDescent="0.2">
      <c r="B104" s="12">
        <v>4390.8</v>
      </c>
      <c r="C104" s="25">
        <f>FORECAST(B104,INDEX(Table3[TVD (m)],MATCH(D104,Table3[MD (m)],0)):INDEX(Table3[TVD (m)],MATCH(E104,Table3[MD (m)],0)),INDEX(Table3[MD (m)],MATCH(D104,Table3[MD (m)],0)):INDEX(Table3[MD (m)],MATCH(E104,Table3[MD (m)],0)))</f>
        <v>2784.5337629937626</v>
      </c>
      <c r="D104" s="23" cm="1">
        <f t="array" ref="D104">MAX(IF(Table3[MD (m)]&lt;=B104,Table3[MD (m)]))</f>
        <v>4366.2</v>
      </c>
      <c r="E104" s="23" cm="1">
        <f t="array" ref="E104">MIN(IF(Table3[MD (m)]&gt;=B104,Table3[MD (m)]))</f>
        <v>4395.0600000000004</v>
      </c>
    </row>
    <row r="105" spans="2:5" x14ac:dyDescent="0.2">
      <c r="B105" s="13">
        <v>4403.3</v>
      </c>
      <c r="C105" s="25">
        <f>FORECAST(B105,INDEX(Table3[TVD (m)],MATCH(D105,Table3[MD (m)],0)):INDEX(Table3[TVD (m)],MATCH(E105,Table3[MD (m)],0)),INDEX(Table3[MD (m)],MATCH(D105,Table3[MD (m)],0)):INDEX(Table3[MD (m)],MATCH(E105,Table3[MD (m)],0)))</f>
        <v>2784.6609057839219</v>
      </c>
      <c r="D105" s="23" cm="1">
        <f t="array" ref="D105">MAX(IF(Table3[MD (m)]&lt;=B105,Table3[MD (m)]))</f>
        <v>4395.0600000000004</v>
      </c>
      <c r="E105" s="23" cm="1">
        <f t="array" ref="E105">MIN(IF(Table3[MD (m)]&gt;=B105,Table3[MD (m)]))</f>
        <v>4422.55</v>
      </c>
    </row>
    <row r="106" spans="2:5" x14ac:dyDescent="0.2">
      <c r="B106" s="17">
        <v>4408.3</v>
      </c>
      <c r="C106" s="26">
        <f>FORECAST(B106,INDEX(Table3[TVD (m)],MATCH(D106,Table3[MD (m)],0)):INDEX(Table3[TVD (m)],MATCH(E106,Table3[MD (m)],0)),INDEX(Table3[MD (m)],MATCH(D106,Table3[MD (m)],0)):INDEX(Table3[MD (m)],MATCH(E106,Table3[MD (m)],0)))</f>
        <v>2784.7282029829034</v>
      </c>
      <c r="D106" s="23" cm="1">
        <f t="array" ref="D106">MAX(IF(Table3[MD (m)]&lt;=B106,Table3[MD (m)]))</f>
        <v>4395.0600000000004</v>
      </c>
      <c r="E106" s="23" cm="1">
        <f t="array" ref="E106">MIN(IF(Table3[MD (m)]&gt;=B106,Table3[MD (m)]))</f>
        <v>4422.55</v>
      </c>
    </row>
    <row r="107" spans="2:5" x14ac:dyDescent="0.2">
      <c r="B107" s="13">
        <v>4415.8</v>
      </c>
      <c r="C107" s="25">
        <f>FORECAST(B107,INDEX(Table3[TVD (m)],MATCH(D107,Table3[MD (m)],0)):INDEX(Table3[TVD (m)],MATCH(E107,Table3[MD (m)],0)),INDEX(Table3[MD (m)],MATCH(D107,Table3[MD (m)],0)):INDEX(Table3[MD (m)],MATCH(E107,Table3[MD (m)],0)))</f>
        <v>2784.8291487813754</v>
      </c>
      <c r="D107" s="23" cm="1">
        <f t="array" ref="D107">MAX(IF(Table3[MD (m)]&lt;=B107,Table3[MD (m)]))</f>
        <v>4395.0600000000004</v>
      </c>
      <c r="E107" s="23" cm="1">
        <f t="array" ref="E107">MIN(IF(Table3[MD (m)]&gt;=B107,Table3[MD (m)]))</f>
        <v>4422.55</v>
      </c>
    </row>
    <row r="108" spans="2:5" x14ac:dyDescent="0.2">
      <c r="B108" s="12">
        <v>4428.3</v>
      </c>
      <c r="C108" s="25">
        <f>FORECAST(B108,INDEX(Table3[TVD (m)],MATCH(D108,Table3[MD (m)],0)):INDEX(Table3[TVD (m)],MATCH(E108,Table3[MD (m)],0)),INDEX(Table3[MD (m)],MATCH(D108,Table3[MD (m)],0)):INDEX(Table3[MD (m)],MATCH(E108,Table3[MD (m)],0)))</f>
        <v>2785.0061576881913</v>
      </c>
      <c r="D108" s="23" cm="1">
        <f t="array" ref="D108">MAX(IF(Table3[MD (m)]&lt;=B108,Table3[MD (m)]))</f>
        <v>4422.55</v>
      </c>
      <c r="E108" s="23" cm="1">
        <f t="array" ref="E108">MIN(IF(Table3[MD (m)]&gt;=B108,Table3[MD (m)]))</f>
        <v>4450.58</v>
      </c>
    </row>
    <row r="109" spans="2:5" x14ac:dyDescent="0.2">
      <c r="B109" s="13">
        <v>4440.8</v>
      </c>
      <c r="C109" s="25">
        <f>FORECAST(B109,INDEX(Table3[TVD (m)],MATCH(D109,Table3[MD (m)],0)):INDEX(Table3[TVD (m)],MATCH(E109,Table3[MD (m)],0)),INDEX(Table3[MD (m)],MATCH(D109,Table3[MD (m)],0)):INDEX(Table3[MD (m)],MATCH(E109,Table3[MD (m)],0)))</f>
        <v>2785.1934570103463</v>
      </c>
      <c r="D109" s="23" cm="1">
        <f t="array" ref="D109">MAX(IF(Table3[MD (m)]&lt;=B109,Table3[MD (m)]))</f>
        <v>4422.55</v>
      </c>
      <c r="E109" s="23" cm="1">
        <f t="array" ref="E109">MIN(IF(Table3[MD (m)]&gt;=B109,Table3[MD (m)]))</f>
        <v>4450.58</v>
      </c>
    </row>
    <row r="110" spans="2:5" x14ac:dyDescent="0.2">
      <c r="B110" s="12">
        <v>4453.3</v>
      </c>
      <c r="C110" s="25">
        <f>FORECAST(B110,INDEX(Table3[TVD (m)],MATCH(D110,Table3[MD (m)],0)):INDEX(Table3[TVD (m)],MATCH(E110,Table3[MD (m)],0)),INDEX(Table3[MD (m)],MATCH(D110,Table3[MD (m)],0)):INDEX(Table3[MD (m)],MATCH(E110,Table3[MD (m)],0)))</f>
        <v>2785.3315469613262</v>
      </c>
      <c r="D110" s="23" cm="1">
        <f t="array" ref="D110">MAX(IF(Table3[MD (m)]&lt;=B110,Table3[MD (m)]))</f>
        <v>4450.58</v>
      </c>
      <c r="E110" s="23" cm="1">
        <f t="array" ref="E110">MIN(IF(Table3[MD (m)]&gt;=B110,Table3[MD (m)]))</f>
        <v>4479.54</v>
      </c>
    </row>
    <row r="111" spans="2:5" x14ac:dyDescent="0.2">
      <c r="B111" s="13">
        <v>4465.8</v>
      </c>
      <c r="C111" s="25">
        <f>FORECAST(B111,INDEX(Table3[TVD (m)],MATCH(D111,Table3[MD (m)],0)):INDEX(Table3[TVD (m)],MATCH(E111,Table3[MD (m)],0)),INDEX(Table3[MD (m)],MATCH(D111,Table3[MD (m)],0)):INDEX(Table3[MD (m)],MATCH(E111,Table3[MD (m)],0)))</f>
        <v>2785.2927002762431</v>
      </c>
      <c r="D111" s="23" cm="1">
        <f t="array" ref="D111">MAX(IF(Table3[MD (m)]&lt;=B111,Table3[MD (m)]))</f>
        <v>4450.58</v>
      </c>
      <c r="E111" s="23" cm="1">
        <f t="array" ref="E111">MIN(IF(Table3[MD (m)]&gt;=B111,Table3[MD (m)]))</f>
        <v>4479.54</v>
      </c>
    </row>
    <row r="112" spans="2:5" x14ac:dyDescent="0.2">
      <c r="B112" s="12">
        <v>4478.3</v>
      </c>
      <c r="C112" s="25">
        <f>FORECAST(B112,INDEX(Table3[TVD (m)],MATCH(D112,Table3[MD (m)],0)):INDEX(Table3[TVD (m)],MATCH(E112,Table3[MD (m)],0)),INDEX(Table3[MD (m)],MATCH(D112,Table3[MD (m)],0)):INDEX(Table3[MD (m)],MATCH(E112,Table3[MD (m)],0)))</f>
        <v>2785.2538535911604</v>
      </c>
      <c r="D112" s="23" cm="1">
        <f t="array" ref="D112">MAX(IF(Table3[MD (m)]&lt;=B112,Table3[MD (m)]))</f>
        <v>4450.58</v>
      </c>
      <c r="E112" s="23" cm="1">
        <f t="array" ref="E112">MIN(IF(Table3[MD (m)]&gt;=B112,Table3[MD (m)]))</f>
        <v>4479.54</v>
      </c>
    </row>
    <row r="113" spans="2:5" x14ac:dyDescent="0.2">
      <c r="B113" s="13">
        <v>4490.8</v>
      </c>
      <c r="C113" s="25">
        <f>FORECAST(B113,INDEX(Table3[TVD (m)],MATCH(D113,Table3[MD (m)],0)):INDEX(Table3[TVD (m)],MATCH(E113,Table3[MD (m)],0)),INDEX(Table3[MD (m)],MATCH(D113,Table3[MD (m)],0)):INDEX(Table3[MD (m)],MATCH(E113,Table3[MD (m)],0)))</f>
        <v>2785.2108211551845</v>
      </c>
      <c r="D113" s="23" cm="1">
        <f t="array" ref="D113">MAX(IF(Table3[MD (m)]&lt;=B113,Table3[MD (m)]))</f>
        <v>4479.54</v>
      </c>
      <c r="E113" s="23" cm="1">
        <f t="array" ref="E113">MIN(IF(Table3[MD (m)]&gt;=B113,Table3[MD (m)]))</f>
        <v>4508.28</v>
      </c>
    </row>
    <row r="114" spans="2:5" x14ac:dyDescent="0.2">
      <c r="B114" s="12">
        <v>4503.3</v>
      </c>
      <c r="C114" s="25">
        <f>FORECAST(B114,INDEX(Table3[TVD (m)],MATCH(D114,Table3[MD (m)],0)):INDEX(Table3[TVD (m)],MATCH(E114,Table3[MD (m)],0)),INDEX(Table3[MD (m)],MATCH(D114,Table3[MD (m)],0)):INDEX(Table3[MD (m)],MATCH(E114,Table3[MD (m)],0)))</f>
        <v>2785.1673277661794</v>
      </c>
      <c r="D114" s="23" cm="1">
        <f t="array" ref="D114">MAX(IF(Table3[MD (m)]&lt;=B114,Table3[MD (m)]))</f>
        <v>4479.54</v>
      </c>
      <c r="E114" s="23" cm="1">
        <f t="array" ref="E114">MIN(IF(Table3[MD (m)]&gt;=B114,Table3[MD (m)]))</f>
        <v>4508.28</v>
      </c>
    </row>
    <row r="115" spans="2:5" x14ac:dyDescent="0.2">
      <c r="B115" s="16">
        <v>4508.3</v>
      </c>
      <c r="C115" s="26">
        <f>FORECAST(B115,INDEX(Table3[TVD (m)],MATCH(D115,Table3[MD (m)],0)):INDEX(Table3[TVD (m)],MATCH(E115,Table3[MD (m)],0)),INDEX(Table3[MD (m)],MATCH(D115,Table3[MD (m)],0)):INDEX(Table3[MD (m)],MATCH(E115,Table3[MD (m)],0)))</f>
        <v>2785.1502910602912</v>
      </c>
      <c r="D115" s="23" cm="1">
        <f t="array" ref="D115">MAX(IF(Table3[MD (m)]&lt;=B115,Table3[MD (m)]))</f>
        <v>4508.28</v>
      </c>
      <c r="E115" s="23" cm="1">
        <f t="array" ref="E115">MIN(IF(Table3[MD (m)]&gt;=B115,Table3[MD (m)]))</f>
        <v>4537.1400000000003</v>
      </c>
    </row>
    <row r="116" spans="2:5" x14ac:dyDescent="0.2">
      <c r="B116" s="12">
        <v>4515.8</v>
      </c>
      <c r="C116" s="25">
        <f>FORECAST(B116,INDEX(Table3[TVD (m)],MATCH(D116,Table3[MD (m)],0)):INDEX(Table3[TVD (m)],MATCH(E116,Table3[MD (m)],0)),INDEX(Table3[MD (m)],MATCH(D116,Table3[MD (m)],0)):INDEX(Table3[MD (m)],MATCH(E116,Table3[MD (m)],0)))</f>
        <v>2785.2594386694386</v>
      </c>
      <c r="D116" s="23" cm="1">
        <f t="array" ref="D116">MAX(IF(Table3[MD (m)]&lt;=B116,Table3[MD (m)]))</f>
        <v>4508.28</v>
      </c>
      <c r="E116" s="23" cm="1">
        <f t="array" ref="E116">MIN(IF(Table3[MD (m)]&gt;=B116,Table3[MD (m)]))</f>
        <v>4537.1400000000003</v>
      </c>
    </row>
    <row r="117" spans="2:5" x14ac:dyDescent="0.2">
      <c r="B117" s="13">
        <v>4528.3</v>
      </c>
      <c r="C117" s="25">
        <f>FORECAST(B117,INDEX(Table3[TVD (m)],MATCH(D117,Table3[MD (m)],0)):INDEX(Table3[TVD (m)],MATCH(E117,Table3[MD (m)],0)),INDEX(Table3[MD (m)],MATCH(D117,Table3[MD (m)],0)):INDEX(Table3[MD (m)],MATCH(E117,Table3[MD (m)],0)))</f>
        <v>2785.4413513513514</v>
      </c>
      <c r="D117" s="23" cm="1">
        <f t="array" ref="D117">MAX(IF(Table3[MD (m)]&lt;=B117,Table3[MD (m)]))</f>
        <v>4508.28</v>
      </c>
      <c r="E117" s="23" cm="1">
        <f t="array" ref="E117">MIN(IF(Table3[MD (m)]&gt;=B117,Table3[MD (m)]))</f>
        <v>4537.1400000000003</v>
      </c>
    </row>
    <row r="118" spans="2:5" x14ac:dyDescent="0.2">
      <c r="B118" s="12">
        <v>4540.8</v>
      </c>
      <c r="C118" s="25">
        <f>FORECAST(B118,INDEX(Table3[TVD (m)],MATCH(D118,Table3[MD (m)],0)):INDEX(Table3[TVD (m)],MATCH(E118,Table3[MD (m)],0)),INDEX(Table3[MD (m)],MATCH(D118,Table3[MD (m)],0)):INDEX(Table3[MD (m)],MATCH(E118,Table3[MD (m)],0)))</f>
        <v>2785.595416666667</v>
      </c>
      <c r="D118" s="23" cm="1">
        <f t="array" ref="D118">MAX(IF(Table3[MD (m)]&lt;=B118,Table3[MD (m)]))</f>
        <v>4537.1400000000003</v>
      </c>
      <c r="E118" s="23" cm="1">
        <f t="array" ref="E118">MIN(IF(Table3[MD (m)]&gt;=B118,Table3[MD (m)]))</f>
        <v>4565.9399999999996</v>
      </c>
    </row>
    <row r="119" spans="2:5" x14ac:dyDescent="0.2">
      <c r="B119" s="13">
        <v>4553.3</v>
      </c>
      <c r="C119" s="25">
        <f>FORECAST(B119,INDEX(Table3[TVD (m)],MATCH(D119,Table3[MD (m)],0)):INDEX(Table3[TVD (m)],MATCH(E119,Table3[MD (m)],0)),INDEX(Table3[MD (m)],MATCH(D119,Table3[MD (m)],0)):INDEX(Table3[MD (m)],MATCH(E119,Table3[MD (m)],0)))</f>
        <v>2785.6822222222222</v>
      </c>
      <c r="D119" s="23" cm="1">
        <f t="array" ref="D119">MAX(IF(Table3[MD (m)]&lt;=B119,Table3[MD (m)]))</f>
        <v>4537.1400000000003</v>
      </c>
      <c r="E119" s="23" cm="1">
        <f t="array" ref="E119">MIN(IF(Table3[MD (m)]&gt;=B119,Table3[MD (m)]))</f>
        <v>4565.9399999999996</v>
      </c>
    </row>
    <row r="120" spans="2:5" x14ac:dyDescent="0.2">
      <c r="B120" s="12">
        <v>4565.8</v>
      </c>
      <c r="C120" s="25">
        <f>FORECAST(B120,INDEX(Table3[TVD (m)],MATCH(D120,Table3[MD (m)],0)):INDEX(Table3[TVD (m)],MATCH(E120,Table3[MD (m)],0)),INDEX(Table3[MD (m)],MATCH(D120,Table3[MD (m)],0)):INDEX(Table3[MD (m)],MATCH(E120,Table3[MD (m)],0)))</f>
        <v>2785.7690277777779</v>
      </c>
      <c r="D120" s="23" cm="1">
        <f t="array" ref="D120">MAX(IF(Table3[MD (m)]&lt;=B120,Table3[MD (m)]))</f>
        <v>4537.1400000000003</v>
      </c>
      <c r="E120" s="23" cm="1">
        <f t="array" ref="E120">MIN(IF(Table3[MD (m)]&gt;=B120,Table3[MD (m)]))</f>
        <v>4565.9399999999996</v>
      </c>
    </row>
    <row r="121" spans="2:5" x14ac:dyDescent="0.2">
      <c r="B121" s="13">
        <v>4578.3</v>
      </c>
      <c r="C121" s="25">
        <f>FORECAST(B121,INDEX(Table3[TVD (m)],MATCH(D121,Table3[MD (m)],0)):INDEX(Table3[TVD (m)],MATCH(E121,Table3[MD (m)],0)),INDEX(Table3[MD (m)],MATCH(D121,Table3[MD (m)],0)):INDEX(Table3[MD (m)],MATCH(E121,Table3[MD (m)],0)))</f>
        <v>2785.6769085929477</v>
      </c>
      <c r="D121" s="23" cm="1">
        <f t="array" ref="D121">MAX(IF(Table3[MD (m)]&lt;=B121,Table3[MD (m)]))</f>
        <v>4565.9399999999996</v>
      </c>
      <c r="E121" s="23" cm="1">
        <f t="array" ref="E121">MIN(IF(Table3[MD (m)]&gt;=B121,Table3[MD (m)]))</f>
        <v>4595.1499999999996</v>
      </c>
    </row>
    <row r="122" spans="2:5" x14ac:dyDescent="0.2">
      <c r="B122" s="12">
        <v>4590.8</v>
      </c>
      <c r="C122" s="25">
        <f>FORECAST(B122,INDEX(Table3[TVD (m)],MATCH(D122,Table3[MD (m)],0)):INDEX(Table3[TVD (m)],MATCH(E122,Table3[MD (m)],0)),INDEX(Table3[MD (m)],MATCH(D122,Table3[MD (m)],0)):INDEX(Table3[MD (m)],MATCH(E122,Table3[MD (m)],0)))</f>
        <v>2785.5827627524823</v>
      </c>
      <c r="D122" s="23" cm="1">
        <f t="array" ref="D122">MAX(IF(Table3[MD (m)]&lt;=B122,Table3[MD (m)]))</f>
        <v>4565.9399999999996</v>
      </c>
      <c r="E122" s="23" cm="1">
        <f t="array" ref="E122">MIN(IF(Table3[MD (m)]&gt;=B122,Table3[MD (m)]))</f>
        <v>4595.1499999999996</v>
      </c>
    </row>
    <row r="123" spans="2:5" x14ac:dyDescent="0.2">
      <c r="B123" s="13">
        <v>4603.3</v>
      </c>
      <c r="C123" s="25">
        <f>FORECAST(B123,INDEX(Table3[TVD (m)],MATCH(D123,Table3[MD (m)],0)):INDEX(Table3[TVD (m)],MATCH(E123,Table3[MD (m)],0)),INDEX(Table3[MD (m)],MATCH(D123,Table3[MD (m)],0)):INDEX(Table3[MD (m)],MATCH(E123,Table3[MD (m)],0)))</f>
        <v>2785.5104643104646</v>
      </c>
      <c r="D123" s="23" cm="1">
        <f t="array" ref="D123">MAX(IF(Table3[MD (m)]&lt;=B123,Table3[MD (m)]))</f>
        <v>4595.1499999999996</v>
      </c>
      <c r="E123" s="23" cm="1">
        <f t="array" ref="E123">MIN(IF(Table3[MD (m)]&gt;=B123,Table3[MD (m)]))</f>
        <v>4624.01</v>
      </c>
    </row>
    <row r="124" spans="2:5" x14ac:dyDescent="0.2">
      <c r="B124" s="17">
        <v>4608.3</v>
      </c>
      <c r="C124" s="26">
        <f>FORECAST(B124,INDEX(Table3[TVD (m)],MATCH(D124,Table3[MD (m)],0)):INDEX(Table3[TVD (m)],MATCH(E124,Table3[MD (m)],0)),INDEX(Table3[MD (m)],MATCH(D124,Table3[MD (m)],0)):INDEX(Table3[MD (m)],MATCH(E124,Table3[MD (m)],0)))</f>
        <v>2785.4862092862095</v>
      </c>
      <c r="D124" s="23" cm="1">
        <f t="array" ref="D124">MAX(IF(Table3[MD (m)]&lt;=B124,Table3[MD (m)]))</f>
        <v>4595.1499999999996</v>
      </c>
      <c r="E124" s="23" cm="1">
        <f t="array" ref="E124">MIN(IF(Table3[MD (m)]&gt;=B124,Table3[MD (m)]))</f>
        <v>4624.01</v>
      </c>
    </row>
    <row r="125" spans="2:5" x14ac:dyDescent="0.2">
      <c r="B125" s="11">
        <v>4624.3</v>
      </c>
      <c r="C125" s="25">
        <f>FORECAST(B125,INDEX(Table3[TVD (m)],MATCH(D125,Table3[MD (m)],0)):INDEX(Table3[TVD (m)],MATCH(E125,Table3[MD (m)],0)),INDEX(Table3[MD (m)],MATCH(D125,Table3[MD (m)],0)):INDEX(Table3[MD (m)],MATCH(E125,Table3[MD (m)],0)))</f>
        <v>2785.4097992384905</v>
      </c>
      <c r="D125" s="23" cm="1">
        <f t="array" ref="D125">MAX(IF(Table3[MD (m)]&lt;=B125,Table3[MD (m)]))</f>
        <v>4624.01</v>
      </c>
      <c r="E125" s="23" cm="1">
        <f t="array" ref="E125">MIN(IF(Table3[MD (m)]&gt;=B125,Table3[MD (m)]))</f>
        <v>4652.8999999999996</v>
      </c>
    </row>
    <row r="126" spans="2:5" x14ac:dyDescent="0.2">
      <c r="B126" s="12">
        <v>4631.8</v>
      </c>
      <c r="C126" s="25">
        <f>FORECAST(B126,INDEX(Table3[TVD (m)],MATCH(D126,Table3[MD (m)],0)):INDEX(Table3[TVD (m)],MATCH(E126,Table3[MD (m)],0)),INDEX(Table3[MD (m)],MATCH(D126,Table3[MD (m)],0)):INDEX(Table3[MD (m)],MATCH(E126,Table3[MD (m)],0)))</f>
        <v>2785.4046071304947</v>
      </c>
      <c r="D126" s="23" cm="1">
        <f t="array" ref="D126">MAX(IF(Table3[MD (m)]&lt;=B126,Table3[MD (m)]))</f>
        <v>4624.01</v>
      </c>
      <c r="E126" s="23" cm="1">
        <f t="array" ref="E126">MIN(IF(Table3[MD (m)]&gt;=B126,Table3[MD (m)]))</f>
        <v>4652.8999999999996</v>
      </c>
    </row>
    <row r="127" spans="2:5" x14ac:dyDescent="0.2">
      <c r="B127" s="13">
        <v>4644.3</v>
      </c>
      <c r="C127" s="25">
        <f>FORECAST(B127,INDEX(Table3[TVD (m)],MATCH(D127,Table3[MD (m)],0)):INDEX(Table3[TVD (m)],MATCH(E127,Table3[MD (m)],0)),INDEX(Table3[MD (m)],MATCH(D127,Table3[MD (m)],0)):INDEX(Table3[MD (m)],MATCH(E127,Table3[MD (m)],0)))</f>
        <v>2785.3959536171683</v>
      </c>
      <c r="D127" s="23" cm="1">
        <f t="array" ref="D127">MAX(IF(Table3[MD (m)]&lt;=B127,Table3[MD (m)]))</f>
        <v>4624.01</v>
      </c>
      <c r="E127" s="23" cm="1">
        <f t="array" ref="E127">MIN(IF(Table3[MD (m)]&gt;=B127,Table3[MD (m)]))</f>
        <v>4652.8999999999996</v>
      </c>
    </row>
    <row r="128" spans="2:5" x14ac:dyDescent="0.2">
      <c r="B128" s="12">
        <v>4656.8</v>
      </c>
      <c r="C128" s="25">
        <f>FORECAST(B128,INDEX(Table3[TVD (m)],MATCH(D128,Table3[MD (m)],0)):INDEX(Table3[TVD (m)],MATCH(E128,Table3[MD (m)],0)),INDEX(Table3[MD (m)],MATCH(D128,Table3[MD (m)],0)):INDEX(Table3[MD (m)],MATCH(E128,Table3[MD (m)],0)))</f>
        <v>2785.3926915113866</v>
      </c>
      <c r="D128" s="23" cm="1">
        <f t="array" ref="D128">MAX(IF(Table3[MD (m)]&lt;=B128,Table3[MD (m)]))</f>
        <v>4652.8999999999996</v>
      </c>
      <c r="E128" s="23" cm="1">
        <f t="array" ref="E128">MIN(IF(Table3[MD (m)]&gt;=B128,Table3[MD (m)]))</f>
        <v>4681.88</v>
      </c>
    </row>
    <row r="129" spans="2:5" x14ac:dyDescent="0.2">
      <c r="B129" s="13">
        <v>4669.3</v>
      </c>
      <c r="C129" s="25">
        <f>FORECAST(B129,INDEX(Table3[TVD (m)],MATCH(D129,Table3[MD (m)],0)):INDEX(Table3[TVD (m)],MATCH(E129,Table3[MD (m)],0)),INDEX(Table3[MD (m)],MATCH(D129,Table3[MD (m)],0)):INDEX(Table3[MD (m)],MATCH(E129,Table3[MD (m)],0)))</f>
        <v>2785.4013181504479</v>
      </c>
      <c r="D129" s="23" cm="1">
        <f t="array" ref="D129">MAX(IF(Table3[MD (m)]&lt;=B129,Table3[MD (m)]))</f>
        <v>4652.8999999999996</v>
      </c>
      <c r="E129" s="23" cm="1">
        <f t="array" ref="E129">MIN(IF(Table3[MD (m)]&gt;=B129,Table3[MD (m)]))</f>
        <v>4681.88</v>
      </c>
    </row>
    <row r="130" spans="2:5" x14ac:dyDescent="0.2">
      <c r="B130" s="12">
        <v>4681.8</v>
      </c>
      <c r="C130" s="25">
        <f>FORECAST(B130,INDEX(Table3[TVD (m)],MATCH(D130,Table3[MD (m)],0)):INDEX(Table3[TVD (m)],MATCH(E130,Table3[MD (m)],0)),INDEX(Table3[MD (m)],MATCH(D130,Table3[MD (m)],0)):INDEX(Table3[MD (m)],MATCH(E130,Table3[MD (m)],0)))</f>
        <v>2785.4099447895096</v>
      </c>
      <c r="D130" s="23" cm="1">
        <f t="array" ref="D130">MAX(IF(Table3[MD (m)]&lt;=B130,Table3[MD (m)]))</f>
        <v>4652.8999999999996</v>
      </c>
      <c r="E130" s="23" cm="1">
        <f t="array" ref="E130">MIN(IF(Table3[MD (m)]&gt;=B130,Table3[MD (m)]))</f>
        <v>4681.88</v>
      </c>
    </row>
    <row r="131" spans="2:5" x14ac:dyDescent="0.2">
      <c r="B131" s="13">
        <v>4694.3</v>
      </c>
      <c r="C131" s="25">
        <f>FORECAST(B131,INDEX(Table3[TVD (m)],MATCH(D131,Table3[MD (m)],0)):INDEX(Table3[TVD (m)],MATCH(E131,Table3[MD (m)],0)),INDEX(Table3[MD (m)],MATCH(D131,Table3[MD (m)],0)):INDEX(Table3[MD (m)],MATCH(E131,Table3[MD (m)],0)))</f>
        <v>2785.375547850208</v>
      </c>
      <c r="D131" s="23" cm="1">
        <f t="array" ref="D131">MAX(IF(Table3[MD (m)]&lt;=B131,Table3[MD (m)]))</f>
        <v>4681.88</v>
      </c>
      <c r="E131" s="23" cm="1">
        <f t="array" ref="E131">MIN(IF(Table3[MD (m)]&gt;=B131,Table3[MD (m)]))</f>
        <v>4710.72</v>
      </c>
    </row>
    <row r="132" spans="2:5" x14ac:dyDescent="0.2">
      <c r="B132" s="12">
        <v>4706.8</v>
      </c>
      <c r="C132" s="25">
        <f>FORECAST(B132,INDEX(Table3[TVD (m)],MATCH(D132,Table3[MD (m)],0)):INDEX(Table3[TVD (m)],MATCH(E132,Table3[MD (m)],0)),INDEX(Table3[MD (m)],MATCH(D132,Table3[MD (m)],0)):INDEX(Table3[MD (m)],MATCH(E132,Table3[MD (m)],0)))</f>
        <v>2785.3408737864074</v>
      </c>
      <c r="D132" s="23" cm="1">
        <f t="array" ref="D132">MAX(IF(Table3[MD (m)]&lt;=B132,Table3[MD (m)]))</f>
        <v>4681.88</v>
      </c>
      <c r="E132" s="23" cm="1">
        <f t="array" ref="E132">MIN(IF(Table3[MD (m)]&gt;=B132,Table3[MD (m)]))</f>
        <v>4710.72</v>
      </c>
    </row>
    <row r="133" spans="2:5" x14ac:dyDescent="0.2">
      <c r="B133" s="13">
        <v>4719.3</v>
      </c>
      <c r="C133" s="25">
        <f>FORECAST(B133,INDEX(Table3[TVD (m)],MATCH(D133,Table3[MD (m)],0)):INDEX(Table3[TVD (m)],MATCH(E133,Table3[MD (m)],0)),INDEX(Table3[MD (m)],MATCH(D133,Table3[MD (m)],0)):INDEX(Table3[MD (m)],MATCH(E133,Table3[MD (m)],0)))</f>
        <v>2785.2505283018868</v>
      </c>
      <c r="D133" s="23" cm="1">
        <f t="array" ref="D133">MAX(IF(Table3[MD (m)]&lt;=B133,Table3[MD (m)]))</f>
        <v>4710.72</v>
      </c>
      <c r="E133" s="23" cm="1">
        <f t="array" ref="E133">MIN(IF(Table3[MD (m)]&gt;=B133,Table3[MD (m)]))</f>
        <v>4739.87</v>
      </c>
    </row>
    <row r="134" spans="2:5" x14ac:dyDescent="0.2">
      <c r="B134" s="17">
        <v>4724.3</v>
      </c>
      <c r="C134" s="26">
        <f>FORECAST(B134,INDEX(Table3[TVD (m)],MATCH(D134,Table3[MD (m)],0)):INDEX(Table3[TVD (m)],MATCH(E134,Table3[MD (m)],0)),INDEX(Table3[MD (m)],MATCH(D134,Table3[MD (m)],0)):INDEX(Table3[MD (m)],MATCH(E134,Table3[MD (m)],0)))</f>
        <v>2785.204216123499</v>
      </c>
      <c r="D134" s="23" cm="1">
        <f t="array" ref="D134">MAX(IF(Table3[MD (m)]&lt;=B134,Table3[MD (m)]))</f>
        <v>4710.72</v>
      </c>
      <c r="E134" s="23" cm="1">
        <f t="array" ref="E134">MIN(IF(Table3[MD (m)]&gt;=B134,Table3[MD (m)]))</f>
        <v>4739.87</v>
      </c>
    </row>
    <row r="135" spans="2:5" x14ac:dyDescent="0.2">
      <c r="B135" s="11">
        <v>4854.8999999999996</v>
      </c>
      <c r="C135" s="25">
        <f>FORECAST(B135,INDEX(Table3[TVD (m)],MATCH(D135,Table3[MD (m)],0)):INDEX(Table3[TVD (m)],MATCH(E135,Table3[MD (m)],0)),INDEX(Table3[MD (m)],MATCH(D135,Table3[MD (m)],0)):INDEX(Table3[MD (m)],MATCH(E135,Table3[MD (m)],0)))</f>
        <v>2786.6446087556019</v>
      </c>
      <c r="D135" s="23" cm="1">
        <f t="array" ref="D135">MAX(IF(Table3[MD (m)]&lt;=B135,Table3[MD (m)]))</f>
        <v>4826.84</v>
      </c>
      <c r="E135" s="23" cm="1">
        <f t="array" ref="E135">MIN(IF(Table3[MD (m)]&gt;=B135,Table3[MD (m)]))</f>
        <v>4855.8500000000004</v>
      </c>
    </row>
    <row r="136" spans="2:5" x14ac:dyDescent="0.2">
      <c r="B136" s="12">
        <v>4862.3999999999996</v>
      </c>
      <c r="C136" s="25">
        <f>FORECAST(B136,INDEX(Table3[TVD (m)],MATCH(D136,Table3[MD (m)],0)):INDEX(Table3[TVD (m)],MATCH(E136,Table3[MD (m)],0)),INDEX(Table3[MD (m)],MATCH(D136,Table3[MD (m)],0)):INDEX(Table3[MD (m)],MATCH(E136,Table3[MD (m)],0)))</f>
        <v>2786.7588001371273</v>
      </c>
      <c r="D136" s="23" cm="1">
        <f t="array" ref="D136">MAX(IF(Table3[MD (m)]&lt;=B136,Table3[MD (m)]))</f>
        <v>4855.8500000000004</v>
      </c>
      <c r="E136" s="23" cm="1">
        <f t="array" ref="E136">MIN(IF(Table3[MD (m)]&gt;=B136,Table3[MD (m)]))</f>
        <v>4885.0200000000004</v>
      </c>
    </row>
    <row r="137" spans="2:5" x14ac:dyDescent="0.2">
      <c r="B137" s="13">
        <v>4874.8999999999996</v>
      </c>
      <c r="C137" s="25">
        <f>FORECAST(B137,INDEX(Table3[TVD (m)],MATCH(D137,Table3[MD (m)],0)):INDEX(Table3[TVD (m)],MATCH(E137,Table3[MD (m)],0)),INDEX(Table3[MD (m)],MATCH(D137,Table3[MD (m)],0)):INDEX(Table3[MD (m)],MATCH(E137,Table3[MD (m)],0)))</f>
        <v>2786.9473500171407</v>
      </c>
      <c r="D137" s="23" cm="1">
        <f t="array" ref="D137">MAX(IF(Table3[MD (m)]&lt;=B137,Table3[MD (m)]))</f>
        <v>4855.8500000000004</v>
      </c>
      <c r="E137" s="23" cm="1">
        <f t="array" ref="E137">MIN(IF(Table3[MD (m)]&gt;=B137,Table3[MD (m)]))</f>
        <v>4885.0200000000004</v>
      </c>
    </row>
    <row r="138" spans="2:5" x14ac:dyDescent="0.2">
      <c r="B138" s="12">
        <v>4887.3999999999996</v>
      </c>
      <c r="C138" s="25">
        <f>FORECAST(B138,INDEX(Table3[TVD (m)],MATCH(D138,Table3[MD (m)],0)):INDEX(Table3[TVD (m)],MATCH(E138,Table3[MD (m)],0)),INDEX(Table3[MD (m)],MATCH(D138,Table3[MD (m)],0)):INDEX(Table3[MD (m)],MATCH(E138,Table3[MD (m)],0)))</f>
        <v>2787.1158499824742</v>
      </c>
      <c r="D138" s="23" cm="1">
        <f t="array" ref="D138">MAX(IF(Table3[MD (m)]&lt;=B138,Table3[MD (m)]))</f>
        <v>4885.0200000000004</v>
      </c>
      <c r="E138" s="23" cm="1">
        <f t="array" ref="E138">MIN(IF(Table3[MD (m)]&gt;=B138,Table3[MD (m)]))</f>
        <v>4913.55</v>
      </c>
    </row>
    <row r="139" spans="2:5" x14ac:dyDescent="0.2">
      <c r="B139" s="13">
        <v>4899.8999999999996</v>
      </c>
      <c r="C139" s="25">
        <f>FORECAST(B139,INDEX(Table3[TVD (m)],MATCH(D139,Table3[MD (m)],0)):INDEX(Table3[TVD (m)],MATCH(E139,Table3[MD (m)],0)),INDEX(Table3[MD (m)],MATCH(D139,Table3[MD (m)],0)):INDEX(Table3[MD (m)],MATCH(E139,Table3[MD (m)],0)))</f>
        <v>2787.1990956887485</v>
      </c>
      <c r="D139" s="23" cm="1">
        <f t="array" ref="D139">MAX(IF(Table3[MD (m)]&lt;=B139,Table3[MD (m)]))</f>
        <v>4885.0200000000004</v>
      </c>
      <c r="E139" s="23" cm="1">
        <f t="array" ref="E139">MIN(IF(Table3[MD (m)]&gt;=B139,Table3[MD (m)]))</f>
        <v>4913.55</v>
      </c>
    </row>
    <row r="140" spans="2:5" x14ac:dyDescent="0.2">
      <c r="B140" s="12">
        <v>4912.3999999999996</v>
      </c>
      <c r="C140" s="25">
        <f>FORECAST(B140,INDEX(Table3[TVD (m)],MATCH(D140,Table3[MD (m)],0)):INDEX(Table3[TVD (m)],MATCH(E140,Table3[MD (m)],0)),INDEX(Table3[MD (m)],MATCH(D140,Table3[MD (m)],0)):INDEX(Table3[MD (m)],MATCH(E140,Table3[MD (m)],0)))</f>
        <v>2787.2823413950227</v>
      </c>
      <c r="D140" s="23" cm="1">
        <f t="array" ref="D140">MAX(IF(Table3[MD (m)]&lt;=B140,Table3[MD (m)]))</f>
        <v>4885.0200000000004</v>
      </c>
      <c r="E140" s="23" cm="1">
        <f t="array" ref="E140">MIN(IF(Table3[MD (m)]&gt;=B140,Table3[MD (m)]))</f>
        <v>4913.55</v>
      </c>
    </row>
    <row r="141" spans="2:5" x14ac:dyDescent="0.2">
      <c r="B141" s="13">
        <v>4924.8999999999996</v>
      </c>
      <c r="C141" s="25">
        <f>FORECAST(B141,INDEX(Table3[TVD (m)],MATCH(D141,Table3[MD (m)],0)):INDEX(Table3[TVD (m)],MATCH(E141,Table3[MD (m)],0)),INDEX(Table3[MD (m)],MATCH(D141,Table3[MD (m)],0)):INDEX(Table3[MD (m)],MATCH(E141,Table3[MD (m)],0)))</f>
        <v>2787.192457889309</v>
      </c>
      <c r="D141" s="23" cm="1">
        <f t="array" ref="D141">MAX(IF(Table3[MD (m)]&lt;=B141,Table3[MD (m)]))</f>
        <v>4913.55</v>
      </c>
      <c r="E141" s="23" cm="1">
        <f t="array" ref="E141">MIN(IF(Table3[MD (m)]&gt;=B141,Table3[MD (m)]))</f>
        <v>4942.6400000000003</v>
      </c>
    </row>
    <row r="142" spans="2:5" x14ac:dyDescent="0.2">
      <c r="B142" s="12">
        <v>4937.3999999999996</v>
      </c>
      <c r="C142" s="25">
        <f>FORECAST(B142,INDEX(Table3[TVD (m)],MATCH(D142,Table3[MD (m)],0)):INDEX(Table3[TVD (m)],MATCH(E142,Table3[MD (m)],0)),INDEX(Table3[MD (m)],MATCH(D142,Table3[MD (m)],0)):INDEX(Table3[MD (m)],MATCH(E142,Table3[MD (m)],0)))</f>
        <v>2787.0850326572704</v>
      </c>
      <c r="D142" s="23" cm="1">
        <f t="array" ref="D142">MAX(IF(Table3[MD (m)]&lt;=B142,Table3[MD (m)]))</f>
        <v>4913.55</v>
      </c>
      <c r="E142" s="23" cm="1">
        <f t="array" ref="E142">MIN(IF(Table3[MD (m)]&gt;=B142,Table3[MD (m)]))</f>
        <v>4942.6400000000003</v>
      </c>
    </row>
    <row r="143" spans="2:5" x14ac:dyDescent="0.2">
      <c r="B143" s="13">
        <v>4949.8999999999996</v>
      </c>
      <c r="C143" s="25">
        <f>FORECAST(B143,INDEX(Table3[TVD (m)],MATCH(D143,Table3[MD (m)],0)):INDEX(Table3[TVD (m)],MATCH(E143,Table3[MD (m)],0)),INDEX(Table3[MD (m)],MATCH(D143,Table3[MD (m)],0)):INDEX(Table3[MD (m)],MATCH(E143,Table3[MD (m)],0)))</f>
        <v>2786.9660484720757</v>
      </c>
      <c r="D143" s="23" cm="1">
        <f t="array" ref="D143">MAX(IF(Table3[MD (m)]&lt;=B143,Table3[MD (m)]))</f>
        <v>4942.6400000000003</v>
      </c>
      <c r="E143" s="23" cm="1">
        <f t="array" ref="E143">MIN(IF(Table3[MD (m)]&gt;=B143,Table3[MD (m)]))</f>
        <v>4971.1099999999997</v>
      </c>
    </row>
    <row r="144" spans="2:5" x14ac:dyDescent="0.2">
      <c r="B144" s="17">
        <v>4954.8999999999996</v>
      </c>
      <c r="C144" s="26">
        <f>FORECAST(B144,INDEX(Table3[TVD (m)],MATCH(D144,Table3[MD (m)],0)):INDEX(Table3[TVD (m)],MATCH(E144,Table3[MD (m)],0)),INDEX(Table3[MD (m)],MATCH(D144,Table3[MD (m)],0)):INDEX(Table3[MD (m)],MATCH(E144,Table3[MD (m)],0)))</f>
        <v>2786.9151176677201</v>
      </c>
      <c r="D144" s="23" cm="1">
        <f t="array" ref="D144">MAX(IF(Table3[MD (m)]&lt;=B144,Table3[MD (m)]))</f>
        <v>4942.6400000000003</v>
      </c>
      <c r="E144" s="23" cm="1">
        <f t="array" ref="E144">MIN(IF(Table3[MD (m)]&gt;=B144,Table3[MD (m)]))</f>
        <v>4971.1099999999997</v>
      </c>
    </row>
    <row r="145" spans="2:5" x14ac:dyDescent="0.2">
      <c r="B145" s="13">
        <v>4962.3999999999996</v>
      </c>
      <c r="C145" s="25">
        <f>FORECAST(B145,INDEX(Table3[TVD (m)],MATCH(D145,Table3[MD (m)],0)):INDEX(Table3[TVD (m)],MATCH(E145,Table3[MD (m)],0)),INDEX(Table3[MD (m)],MATCH(D145,Table3[MD (m)],0)):INDEX(Table3[MD (m)],MATCH(E145,Table3[MD (m)],0)))</f>
        <v>2786.8387214611871</v>
      </c>
      <c r="D145" s="23" cm="1">
        <f t="array" ref="D145">MAX(IF(Table3[MD (m)]&lt;=B145,Table3[MD (m)]))</f>
        <v>4942.6400000000003</v>
      </c>
      <c r="E145" s="23" cm="1">
        <f t="array" ref="E145">MIN(IF(Table3[MD (m)]&gt;=B145,Table3[MD (m)]))</f>
        <v>4971.1099999999997</v>
      </c>
    </row>
    <row r="146" spans="2:5" x14ac:dyDescent="0.2">
      <c r="B146" s="12">
        <v>4974.8999999999996</v>
      </c>
      <c r="C146" s="25">
        <f>FORECAST(B146,INDEX(Table3[TVD (m)],MATCH(D146,Table3[MD (m)],0)):INDEX(Table3[TVD (m)],MATCH(E146,Table3[MD (m)],0)),INDEX(Table3[MD (m)],MATCH(D146,Table3[MD (m)],0)):INDEX(Table3[MD (m)],MATCH(E146,Table3[MD (m)],0)))</f>
        <v>2786.7061849710985</v>
      </c>
      <c r="D146" s="23" cm="1">
        <f t="array" ref="D146">MAX(IF(Table3[MD (m)]&lt;=B146,Table3[MD (m)]))</f>
        <v>4971.1099999999997</v>
      </c>
      <c r="E146" s="23" cm="1">
        <f t="array" ref="E146">MIN(IF(Table3[MD (m)]&gt;=B146,Table3[MD (m)]))</f>
        <v>5000.5200000000004</v>
      </c>
    </row>
    <row r="147" spans="2:5" x14ac:dyDescent="0.2">
      <c r="B147" s="13">
        <v>4987.3999999999996</v>
      </c>
      <c r="C147" s="25">
        <f>FORECAST(B147,INDEX(Table3[TVD (m)],MATCH(D147,Table3[MD (m)],0)):INDEX(Table3[TVD (m)],MATCH(E147,Table3[MD (m)],0)),INDEX(Table3[MD (m)],MATCH(D147,Table3[MD (m)],0)):INDEX(Table3[MD (m)],MATCH(E147,Table3[MD (m)],0)))</f>
        <v>2786.5616763005783</v>
      </c>
      <c r="D147" s="23" cm="1">
        <f t="array" ref="D147">MAX(IF(Table3[MD (m)]&lt;=B147,Table3[MD (m)]))</f>
        <v>4971.1099999999997</v>
      </c>
      <c r="E147" s="23" cm="1">
        <f t="array" ref="E147">MIN(IF(Table3[MD (m)]&gt;=B147,Table3[MD (m)]))</f>
        <v>5000.5200000000004</v>
      </c>
    </row>
    <row r="148" spans="2:5" x14ac:dyDescent="0.2">
      <c r="B148" s="12">
        <v>4999.8999999999996</v>
      </c>
      <c r="C148" s="25">
        <f>FORECAST(B148,INDEX(Table3[TVD (m)],MATCH(D148,Table3[MD (m)],0)):INDEX(Table3[TVD (m)],MATCH(E148,Table3[MD (m)],0)),INDEX(Table3[MD (m)],MATCH(D148,Table3[MD (m)],0)):INDEX(Table3[MD (m)],MATCH(E148,Table3[MD (m)],0)))</f>
        <v>2786.417167630058</v>
      </c>
      <c r="D148" s="23" cm="1">
        <f t="array" ref="D148">MAX(IF(Table3[MD (m)]&lt;=B148,Table3[MD (m)]))</f>
        <v>4971.1099999999997</v>
      </c>
      <c r="E148" s="23" cm="1">
        <f t="array" ref="E148">MIN(IF(Table3[MD (m)]&gt;=B148,Table3[MD (m)]))</f>
        <v>5000.5200000000004</v>
      </c>
    </row>
    <row r="149" spans="2:5" x14ac:dyDescent="0.2">
      <c r="B149" s="13">
        <v>5012.3999999999996</v>
      </c>
      <c r="C149" s="25">
        <f>FORECAST(B149,INDEX(Table3[TVD (m)],MATCH(D149,Table3[MD (m)],0)):INDEX(Table3[TVD (m)],MATCH(E149,Table3[MD (m)],0)),INDEX(Table3[MD (m)],MATCH(D149,Table3[MD (m)],0)):INDEX(Table3[MD (m)],MATCH(E149,Table3[MD (m)],0)))</f>
        <v>2786.3690344827583</v>
      </c>
      <c r="D149" s="23" cm="1">
        <f t="array" ref="D149">MAX(IF(Table3[MD (m)]&lt;=B149,Table3[MD (m)]))</f>
        <v>5000.5200000000004</v>
      </c>
      <c r="E149" s="23" cm="1">
        <f t="array" ref="E149">MIN(IF(Table3[MD (m)]&gt;=B149,Table3[MD (m)]))</f>
        <v>5029.5200000000004</v>
      </c>
    </row>
    <row r="150" spans="2:5" x14ac:dyDescent="0.2">
      <c r="B150" s="12">
        <v>5024.8999999999996</v>
      </c>
      <c r="C150" s="25">
        <f>FORECAST(B150,INDEX(Table3[TVD (m)],MATCH(D150,Table3[MD (m)],0)):INDEX(Table3[TVD (m)],MATCH(E150,Table3[MD (m)],0)),INDEX(Table3[MD (m)],MATCH(D150,Table3[MD (m)],0)):INDEX(Table3[MD (m)],MATCH(E150,Table3[MD (m)],0)))</f>
        <v>2786.3259310344824</v>
      </c>
      <c r="D150" s="23" cm="1">
        <f t="array" ref="D150">MAX(IF(Table3[MD (m)]&lt;=B150,Table3[MD (m)]))</f>
        <v>5000.5200000000004</v>
      </c>
      <c r="E150" s="23" cm="1">
        <f t="array" ref="E150">MIN(IF(Table3[MD (m)]&gt;=B150,Table3[MD (m)]))</f>
        <v>5029.5200000000004</v>
      </c>
    </row>
    <row r="151" spans="2:5" x14ac:dyDescent="0.2">
      <c r="B151" s="13">
        <v>5037.3999999999996</v>
      </c>
      <c r="C151" s="25">
        <f>FORECAST(B151,INDEX(Table3[TVD (m)],MATCH(D151,Table3[MD (m)],0)):INDEX(Table3[TVD (m)],MATCH(E151,Table3[MD (m)],0)),INDEX(Table3[MD (m)],MATCH(D151,Table3[MD (m)],0)):INDEX(Table3[MD (m)],MATCH(E151,Table3[MD (m)],0)))</f>
        <v>2786.3940383931745</v>
      </c>
      <c r="D151" s="23" cm="1">
        <f t="array" ref="D151">MAX(IF(Table3[MD (m)]&lt;=B151,Table3[MD (m)]))</f>
        <v>5029.5200000000004</v>
      </c>
      <c r="E151" s="23" cm="1">
        <f t="array" ref="E151">MIN(IF(Table3[MD (m)]&gt;=B151,Table3[MD (m)]))</f>
        <v>5057.6499999999996</v>
      </c>
    </row>
    <row r="152" spans="2:5" x14ac:dyDescent="0.2">
      <c r="B152" s="12">
        <v>5049.8999999999996</v>
      </c>
      <c r="C152" s="25">
        <f>FORECAST(B152,INDEX(Table3[TVD (m)],MATCH(D152,Table3[MD (m)],0)):INDEX(Table3[TVD (m)],MATCH(E152,Table3[MD (m)],0)),INDEX(Table3[MD (m)],MATCH(D152,Table3[MD (m)],0)):INDEX(Table3[MD (m)],MATCH(E152,Table3[MD (m)],0)))</f>
        <v>2786.5273480270175</v>
      </c>
      <c r="D152" s="23" cm="1">
        <f t="array" ref="D152">MAX(IF(Table3[MD (m)]&lt;=B152,Table3[MD (m)]))</f>
        <v>5029.5200000000004</v>
      </c>
      <c r="E152" s="23" cm="1">
        <f t="array" ref="E152">MIN(IF(Table3[MD (m)]&gt;=B152,Table3[MD (m)]))</f>
        <v>5057.6499999999996</v>
      </c>
    </row>
    <row r="153" spans="2:5" x14ac:dyDescent="0.2">
      <c r="B153" s="16">
        <v>5054.8999999999996</v>
      </c>
      <c r="C153" s="26">
        <f>FORECAST(B153,INDEX(Table3[TVD (m)],MATCH(D153,Table3[MD (m)],0)):INDEX(Table3[TVD (m)],MATCH(E153,Table3[MD (m)],0)),INDEX(Table3[MD (m)],MATCH(D153,Table3[MD (m)],0)):INDEX(Table3[MD (m)],MATCH(E153,Table3[MD (m)],0)))</f>
        <v>2786.5806718805547</v>
      </c>
      <c r="D153" s="23" cm="1">
        <f t="array" ref="D153">MAX(IF(Table3[MD (m)]&lt;=B153,Table3[MD (m)]))</f>
        <v>5029.5200000000004</v>
      </c>
      <c r="E153" s="23" cm="1">
        <f t="array" ref="E153">MIN(IF(Table3[MD (m)]&gt;=B153,Table3[MD (m)]))</f>
        <v>5057.6499999999996</v>
      </c>
    </row>
    <row r="154" spans="2:5" x14ac:dyDescent="0.2">
      <c r="B154" s="12">
        <v>5062.3999999999996</v>
      </c>
      <c r="C154" s="25">
        <f>FORECAST(B154,INDEX(Table3[TVD (m)],MATCH(D154,Table3[MD (m)],0)):INDEX(Table3[TVD (m)],MATCH(E154,Table3[MD (m)],0)),INDEX(Table3[MD (m)],MATCH(D154,Table3[MD (m)],0)):INDEX(Table3[MD (m)],MATCH(E154,Table3[MD (m)],0)))</f>
        <v>2786.625466714906</v>
      </c>
      <c r="D154" s="23" cm="1">
        <f t="array" ref="D154">MAX(IF(Table3[MD (m)]&lt;=B154,Table3[MD (m)]))</f>
        <v>5057.6499999999996</v>
      </c>
      <c r="E154" s="23" cm="1">
        <f t="array" ref="E154">MIN(IF(Table3[MD (m)]&gt;=B154,Table3[MD (m)]))</f>
        <v>5085.29</v>
      </c>
    </row>
    <row r="155" spans="2:5" x14ac:dyDescent="0.2">
      <c r="B155" s="13">
        <v>5074.8999999999996</v>
      </c>
      <c r="C155" s="25">
        <f>FORECAST(B155,INDEX(Table3[TVD (m)],MATCH(D155,Table3[MD (m)],0)):INDEX(Table3[TVD (m)],MATCH(E155,Table3[MD (m)],0)),INDEX(Table3[MD (m)],MATCH(D155,Table3[MD (m)],0)):INDEX(Table3[MD (m)],MATCH(E155,Table3[MD (m)],0)))</f>
        <v>2786.6661685962372</v>
      </c>
      <c r="D155" s="23" cm="1">
        <f t="array" ref="D155">MAX(IF(Table3[MD (m)]&lt;=B155,Table3[MD (m)]))</f>
        <v>5057.6499999999996</v>
      </c>
      <c r="E155" s="23" cm="1">
        <f t="array" ref="E155">MIN(IF(Table3[MD (m)]&gt;=B155,Table3[MD (m)]))</f>
        <v>5085.29</v>
      </c>
    </row>
    <row r="156" spans="2:5" x14ac:dyDescent="0.2">
      <c r="B156" s="12">
        <v>5087.3999999999996</v>
      </c>
      <c r="C156" s="25">
        <f>FORECAST(B156,INDEX(Table3[TVD (m)],MATCH(D156,Table3[MD (m)],0)):INDEX(Table3[TVD (m)],MATCH(E156,Table3[MD (m)],0)),INDEX(Table3[MD (m)],MATCH(D156,Table3[MD (m)],0)):INDEX(Table3[MD (m)],MATCH(E156,Table3[MD (m)],0)))</f>
        <v>2786.67980861244</v>
      </c>
      <c r="D156" s="23" cm="1">
        <f t="array" ref="D156">MAX(IF(Table3[MD (m)]&lt;=B156,Table3[MD (m)]))</f>
        <v>5085.29</v>
      </c>
      <c r="E156" s="23" cm="1">
        <f t="array" ref="E156">MIN(IF(Table3[MD (m)]&gt;=B156,Table3[MD (m)]))</f>
        <v>5114.55</v>
      </c>
    </row>
    <row r="157" spans="2:5" x14ac:dyDescent="0.2">
      <c r="B157" s="13">
        <v>5099.8999999999996</v>
      </c>
      <c r="C157" s="25">
        <f>FORECAST(B157,INDEX(Table3[TVD (m)],MATCH(D157,Table3[MD (m)],0)):INDEX(Table3[TVD (m)],MATCH(E157,Table3[MD (m)],0)),INDEX(Table3[MD (m)],MATCH(D157,Table3[MD (m)],0)):INDEX(Table3[MD (m)],MATCH(E157,Table3[MD (m)],0)))</f>
        <v>2786.5601913875598</v>
      </c>
      <c r="D157" s="23" cm="1">
        <f t="array" ref="D157">MAX(IF(Table3[MD (m)]&lt;=B157,Table3[MD (m)]))</f>
        <v>5085.29</v>
      </c>
      <c r="E157" s="23" cm="1">
        <f t="array" ref="E157">MIN(IF(Table3[MD (m)]&gt;=B157,Table3[MD (m)]))</f>
        <v>5114.55</v>
      </c>
    </row>
    <row r="158" spans="2:5" x14ac:dyDescent="0.2">
      <c r="B158" s="17">
        <v>5104.8999999999996</v>
      </c>
      <c r="C158" s="26">
        <f>FORECAST(B158,INDEX(Table3[TVD (m)],MATCH(D158,Table3[MD (m)],0)):INDEX(Table3[TVD (m)],MATCH(E158,Table3[MD (m)],0)),INDEX(Table3[MD (m)],MATCH(D158,Table3[MD (m)],0)):INDEX(Table3[MD (m)],MATCH(E158,Table3[MD (m)],0)))</f>
        <v>2786.512344497608</v>
      </c>
      <c r="D158" s="23" cm="1">
        <f t="array" ref="D158">MAX(IF(Table3[MD (m)]&lt;=B158,Table3[MD (m)]))</f>
        <v>5085.29</v>
      </c>
      <c r="E158" s="23" cm="1">
        <f t="array" ref="E158">MIN(IF(Table3[MD (m)]&gt;=B158,Table3[MD (m)]))</f>
        <v>5114.55</v>
      </c>
    </row>
    <row r="159" spans="2:5" x14ac:dyDescent="0.2">
      <c r="B159" s="11">
        <v>5241.3</v>
      </c>
      <c r="C159" s="25">
        <f>FORECAST(B159,INDEX(Table3[TVD (m)],MATCH(D159,Table3[MD (m)],0)):INDEX(Table3[TVD (m)],MATCH(E159,Table3[MD (m)],0)),INDEX(Table3[MD (m)],MATCH(D159,Table3[MD (m)],0)):INDEX(Table3[MD (m)],MATCH(E159,Table3[MD (m)],0)))</f>
        <v>2785.4947390109887</v>
      </c>
      <c r="D159" s="23" cm="1">
        <f t="array" ref="D159">MAX(IF(Table3[MD (m)]&lt;=B159,Table3[MD (m)]))</f>
        <v>5230.72</v>
      </c>
      <c r="E159" s="23" cm="1">
        <f t="array" ref="E159">MIN(IF(Table3[MD (m)]&gt;=B159,Table3[MD (m)]))</f>
        <v>5259.84</v>
      </c>
    </row>
    <row r="160" spans="2:5" x14ac:dyDescent="0.2">
      <c r="B160" s="12">
        <v>5248.8</v>
      </c>
      <c r="C160" s="25">
        <f>FORECAST(B160,INDEX(Table3[TVD (m)],MATCH(D160,Table3[MD (m)],0)):INDEX(Table3[TVD (m)],MATCH(E160,Table3[MD (m)],0)),INDEX(Table3[MD (m)],MATCH(D160,Table3[MD (m)],0)):INDEX(Table3[MD (m)],MATCH(E160,Table3[MD (m)],0)))</f>
        <v>2785.3350549450547</v>
      </c>
      <c r="D160" s="23" cm="1">
        <f t="array" ref="D160">MAX(IF(Table3[MD (m)]&lt;=B160,Table3[MD (m)]))</f>
        <v>5230.72</v>
      </c>
      <c r="E160" s="23" cm="1">
        <f t="array" ref="E160">MIN(IF(Table3[MD (m)]&gt;=B160,Table3[MD (m)]))</f>
        <v>5259.84</v>
      </c>
    </row>
    <row r="161" spans="2:5" x14ac:dyDescent="0.2">
      <c r="B161" s="13">
        <v>5261.3</v>
      </c>
      <c r="C161" s="25">
        <f>FORECAST(B161,INDEX(Table3[TVD (m)],MATCH(D161,Table3[MD (m)],0)):INDEX(Table3[TVD (m)],MATCH(E161,Table3[MD (m)],0)),INDEX(Table3[MD (m)],MATCH(D161,Table3[MD (m)],0)):INDEX(Table3[MD (m)],MATCH(E161,Table3[MD (m)],0)))</f>
        <v>2785.0683683141501</v>
      </c>
      <c r="D161" s="23" cm="1">
        <f t="array" ref="D161">MAX(IF(Table3[MD (m)]&lt;=B161,Table3[MD (m)]))</f>
        <v>5259.84</v>
      </c>
      <c r="E161" s="23" cm="1">
        <f t="array" ref="E161">MIN(IF(Table3[MD (m)]&gt;=B161,Table3[MD (m)]))</f>
        <v>5289.38</v>
      </c>
    </row>
    <row r="162" spans="2:5" x14ac:dyDescent="0.2">
      <c r="B162" s="12">
        <v>5273.8</v>
      </c>
      <c r="C162" s="25">
        <f>FORECAST(B162,INDEX(Table3[TVD (m)],MATCH(D162,Table3[MD (m)],0)):INDEX(Table3[TVD (m)],MATCH(E162,Table3[MD (m)],0)),INDEX(Table3[MD (m)],MATCH(D162,Table3[MD (m)],0)):INDEX(Table3[MD (m)],MATCH(E162,Table3[MD (m)],0)))</f>
        <v>2784.7975490859849</v>
      </c>
      <c r="D162" s="23" cm="1">
        <f t="array" ref="D162">MAX(IF(Table3[MD (m)]&lt;=B162,Table3[MD (m)]))</f>
        <v>5259.84</v>
      </c>
      <c r="E162" s="23" cm="1">
        <f t="array" ref="E162">MIN(IF(Table3[MD (m)]&gt;=B162,Table3[MD (m)]))</f>
        <v>5289.38</v>
      </c>
    </row>
    <row r="163" spans="2:5" x14ac:dyDescent="0.2">
      <c r="B163" s="13">
        <v>5286.3</v>
      </c>
      <c r="C163" s="25">
        <f>FORECAST(B163,INDEX(Table3[TVD (m)],MATCH(D163,Table3[MD (m)],0)):INDEX(Table3[TVD (m)],MATCH(E163,Table3[MD (m)],0)),INDEX(Table3[MD (m)],MATCH(D163,Table3[MD (m)],0)):INDEX(Table3[MD (m)],MATCH(E163,Table3[MD (m)],0)))</f>
        <v>2784.5267298578196</v>
      </c>
      <c r="D163" s="23" cm="1">
        <f t="array" ref="D163">MAX(IF(Table3[MD (m)]&lt;=B163,Table3[MD (m)]))</f>
        <v>5259.84</v>
      </c>
      <c r="E163" s="23" cm="1">
        <f t="array" ref="E163">MIN(IF(Table3[MD (m)]&gt;=B163,Table3[MD (m)]))</f>
        <v>5289.38</v>
      </c>
    </row>
    <row r="164" spans="2:5" x14ac:dyDescent="0.2">
      <c r="B164" s="17">
        <v>5291.3</v>
      </c>
      <c r="C164" s="26">
        <f>FORECAST(B164,INDEX(Table3[TVD (m)],MATCH(D164,Table3[MD (m)],0)):INDEX(Table3[TVD (m)],MATCH(E164,Table3[MD (m)],0)),INDEX(Table3[MD (m)],MATCH(D164,Table3[MD (m)],0)):INDEX(Table3[MD (m)],MATCH(E164,Table3[MD (m)],0)))</f>
        <v>2784.41633401222</v>
      </c>
      <c r="D164" s="23" cm="1">
        <f t="array" ref="D164">MAX(IF(Table3[MD (m)]&lt;=B164,Table3[MD (m)]))</f>
        <v>5289.38</v>
      </c>
      <c r="E164" s="23" cm="1">
        <f t="array" ref="E164">MIN(IF(Table3[MD (m)]&gt;=B164,Table3[MD (m)]))</f>
        <v>5318.84</v>
      </c>
    </row>
    <row r="165" spans="2:5" x14ac:dyDescent="0.2">
      <c r="B165" s="11">
        <v>5311.3</v>
      </c>
      <c r="C165" s="25">
        <f>FORECAST(B165,INDEX(Table3[TVD (m)],MATCH(D165,Table3[MD (m)],0)):INDEX(Table3[TVD (m)],MATCH(E165,Table3[MD (m)],0)),INDEX(Table3[MD (m)],MATCH(D165,Table3[MD (m)],0)):INDEX(Table3[MD (m)],MATCH(E165,Table3[MD (m)],0)))</f>
        <v>2783.9614799728442</v>
      </c>
      <c r="D165" s="23" cm="1">
        <f t="array" ref="D165">MAX(IF(Table3[MD (m)]&lt;=B165,Table3[MD (m)]))</f>
        <v>5289.38</v>
      </c>
      <c r="E165" s="23" cm="1">
        <f t="array" ref="E165">MIN(IF(Table3[MD (m)]&gt;=B165,Table3[MD (m)]))</f>
        <v>5318.84</v>
      </c>
    </row>
    <row r="166" spans="2:5" x14ac:dyDescent="0.2">
      <c r="B166" s="12">
        <v>5318.8</v>
      </c>
      <c r="C166" s="25">
        <f>FORECAST(B166,INDEX(Table3[TVD (m)],MATCH(D166,Table3[MD (m)],0)):INDEX(Table3[TVD (m)],MATCH(E166,Table3[MD (m)],0)),INDEX(Table3[MD (m)],MATCH(D166,Table3[MD (m)],0)):INDEX(Table3[MD (m)],MATCH(E166,Table3[MD (m)],0)))</f>
        <v>2783.7909097080787</v>
      </c>
      <c r="D166" s="23" cm="1">
        <f t="array" ref="D166">MAX(IF(Table3[MD (m)]&lt;=B166,Table3[MD (m)]))</f>
        <v>5289.38</v>
      </c>
      <c r="E166" s="23" cm="1">
        <f t="array" ref="E166">MIN(IF(Table3[MD (m)]&gt;=B166,Table3[MD (m)]))</f>
        <v>5318.84</v>
      </c>
    </row>
    <row r="167" spans="2:5" x14ac:dyDescent="0.2">
      <c r="B167" s="13">
        <v>5331.3</v>
      </c>
      <c r="C167" s="25">
        <f>FORECAST(B167,INDEX(Table3[TVD (m)],MATCH(D167,Table3[MD (m)],0)):INDEX(Table3[TVD (m)],MATCH(E167,Table3[MD (m)],0)),INDEX(Table3[MD (m)],MATCH(D167,Table3[MD (m)],0)):INDEX(Table3[MD (m)],MATCH(E167,Table3[MD (m)],0)))</f>
        <v>2783.7267084321034</v>
      </c>
      <c r="D167" s="23" cm="1">
        <f t="array" ref="D167">MAX(IF(Table3[MD (m)]&lt;=B167,Table3[MD (m)]))</f>
        <v>5318.84</v>
      </c>
      <c r="E167" s="23" cm="1">
        <f t="array" ref="E167">MIN(IF(Table3[MD (m)]&gt;=B167,Table3[MD (m)]))</f>
        <v>5348.37</v>
      </c>
    </row>
    <row r="168" spans="2:5" x14ac:dyDescent="0.2">
      <c r="B168" s="12">
        <v>5343.8</v>
      </c>
      <c r="C168" s="25">
        <f>FORECAST(B168,INDEX(Table3[TVD (m)],MATCH(D168,Table3[MD (m)],0)):INDEX(Table3[TVD (m)],MATCH(E168,Table3[MD (m)],0)),INDEX(Table3[MD (m)],MATCH(D168,Table3[MD (m)],0)):INDEX(Table3[MD (m)],MATCH(E168,Table3[MD (m)],0)))</f>
        <v>2783.6632136810026</v>
      </c>
      <c r="D168" s="23" cm="1">
        <f t="array" ref="D168">MAX(IF(Table3[MD (m)]&lt;=B168,Table3[MD (m)]))</f>
        <v>5318.84</v>
      </c>
      <c r="E168" s="23" cm="1">
        <f t="array" ref="E168">MIN(IF(Table3[MD (m)]&gt;=B168,Table3[MD (m)]))</f>
        <v>5348.37</v>
      </c>
    </row>
    <row r="169" spans="2:5" x14ac:dyDescent="0.2">
      <c r="B169" s="13">
        <v>5356.3</v>
      </c>
      <c r="C169" s="25">
        <f>FORECAST(B169,INDEX(Table3[TVD (m)],MATCH(D169,Table3[MD (m)],0)):INDEX(Table3[TVD (m)],MATCH(E169,Table3[MD (m)],0)),INDEX(Table3[MD (m)],MATCH(D169,Table3[MD (m)],0)):INDEX(Table3[MD (m)],MATCH(E169,Table3[MD (m)],0)))</f>
        <v>2783.7265484311051</v>
      </c>
      <c r="D169" s="23" cm="1">
        <f t="array" ref="D169">MAX(IF(Table3[MD (m)]&lt;=B169,Table3[MD (m)]))</f>
        <v>5348.37</v>
      </c>
      <c r="E169" s="23" cm="1">
        <f t="array" ref="E169">MIN(IF(Table3[MD (m)]&gt;=B169,Table3[MD (m)]))</f>
        <v>5377.69</v>
      </c>
    </row>
    <row r="170" spans="2:5" x14ac:dyDescent="0.2">
      <c r="B170" s="10">
        <v>5428</v>
      </c>
      <c r="C170" s="25">
        <f>FORECAST(B170,INDEX(Table3[TVD (m)],MATCH(D170,Table3[MD (m)],0)):INDEX(Table3[TVD (m)],MATCH(E170,Table3[MD (m)],0)),INDEX(Table3[MD (m)],MATCH(D170,Table3[MD (m)],0)):INDEX(Table3[MD (m)],MATCH(E170,Table3[MD (m)],0)))</f>
        <v>2784.0827691778468</v>
      </c>
      <c r="D170" s="23" cm="1">
        <f t="array" ref="D170">MAX(IF(Table3[MD (m)]&lt;=B170,Table3[MD (m)]))</f>
        <v>5406.98</v>
      </c>
      <c r="E170" s="23" cm="1">
        <f t="array" ref="E170">MIN(IF(Table3[MD (m)]&gt;=B170,Table3[MD (m)]))</f>
        <v>5436.05</v>
      </c>
    </row>
    <row r="171" spans="2:5" x14ac:dyDescent="0.2">
      <c r="B171" s="13">
        <v>5438.8</v>
      </c>
      <c r="C171" s="25">
        <f>FORECAST(B171,INDEX(Table3[TVD (m)],MATCH(D171,Table3[MD (m)],0)):INDEX(Table3[TVD (m)],MATCH(E171,Table3[MD (m)],0)),INDEX(Table3[MD (m)],MATCH(D171,Table3[MD (m)],0)):INDEX(Table3[MD (m)],MATCH(E171,Table3[MD (m)],0)))</f>
        <v>2784.0809482758623</v>
      </c>
      <c r="D171" s="23" cm="1">
        <f t="array" ref="D171">MAX(IF(Table3[MD (m)]&lt;=B171,Table3[MD (m)]))</f>
        <v>5436.05</v>
      </c>
      <c r="E171" s="23" cm="1">
        <f t="array" ref="E171">MIN(IF(Table3[MD (m)]&gt;=B171,Table3[MD (m)]))</f>
        <v>5465.05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8A7B5-8F60-7141-91A1-177182E44924}">
  <sheetPr codeName="Sheet3">
    <tabColor rgb="FFFF0000"/>
  </sheetPr>
  <dimension ref="B2:J198"/>
  <sheetViews>
    <sheetView zoomScaleNormal="100" workbookViewId="0">
      <selection activeCell="B3" sqref="B3:J198"/>
    </sheetView>
  </sheetViews>
  <sheetFormatPr baseColWidth="10" defaultColWidth="11.1640625" defaultRowHeight="16" x14ac:dyDescent="0.2"/>
  <sheetData>
    <row r="2" spans="2:10" x14ac:dyDescent="0.2">
      <c r="B2" t="s">
        <v>0</v>
      </c>
      <c r="C2" t="s">
        <v>1</v>
      </c>
      <c r="D2" t="s">
        <v>3</v>
      </c>
      <c r="E2" t="s">
        <v>4</v>
      </c>
      <c r="F2" t="s">
        <v>2</v>
      </c>
      <c r="G2" t="s">
        <v>40</v>
      </c>
      <c r="H2" t="s">
        <v>41</v>
      </c>
      <c r="I2" t="s">
        <v>42</v>
      </c>
      <c r="J2" t="s">
        <v>43</v>
      </c>
    </row>
    <row r="3" spans="2:10" x14ac:dyDescent="0.2">
      <c r="B3" s="2">
        <v>0</v>
      </c>
      <c r="C3" s="1">
        <v>0</v>
      </c>
      <c r="D3" s="2">
        <v>0</v>
      </c>
      <c r="E3" s="2">
        <v>112.26</v>
      </c>
      <c r="F3" s="2">
        <v>0</v>
      </c>
      <c r="G3" s="1">
        <v>0</v>
      </c>
      <c r="H3" s="1">
        <v>0</v>
      </c>
      <c r="I3" s="1">
        <v>0</v>
      </c>
      <c r="J3" s="1">
        <v>0</v>
      </c>
    </row>
    <row r="4" spans="2:10" x14ac:dyDescent="0.2">
      <c r="B4" s="2">
        <v>26</v>
      </c>
      <c r="C4" s="1">
        <v>26</v>
      </c>
      <c r="D4" s="2">
        <v>0.4</v>
      </c>
      <c r="E4" s="2">
        <v>112.26</v>
      </c>
      <c r="F4" s="2">
        <v>0.46</v>
      </c>
      <c r="G4" s="1">
        <v>-0.03</v>
      </c>
      <c r="H4" s="1">
        <v>0.08</v>
      </c>
      <c r="I4" s="1">
        <v>0.46</v>
      </c>
      <c r="J4" s="1">
        <v>0</v>
      </c>
    </row>
    <row r="5" spans="2:10" x14ac:dyDescent="0.2">
      <c r="B5" s="2">
        <v>53.67</v>
      </c>
      <c r="C5" s="1">
        <v>53.67</v>
      </c>
      <c r="D5" s="2">
        <v>0.47</v>
      </c>
      <c r="E5" s="2">
        <v>125.06</v>
      </c>
      <c r="F5" s="2">
        <v>0.13</v>
      </c>
      <c r="G5" s="1">
        <v>-0.14000000000000001</v>
      </c>
      <c r="H5" s="1">
        <v>0.27</v>
      </c>
      <c r="I5" s="1">
        <v>0.08</v>
      </c>
      <c r="J5" s="1">
        <v>13.88</v>
      </c>
    </row>
    <row r="6" spans="2:10" x14ac:dyDescent="0.2">
      <c r="B6" s="2">
        <v>81.48</v>
      </c>
      <c r="C6" s="1">
        <v>81.48</v>
      </c>
      <c r="D6" s="2">
        <v>0.5</v>
      </c>
      <c r="E6" s="2">
        <v>123.53</v>
      </c>
      <c r="F6" s="2">
        <v>0.04</v>
      </c>
      <c r="G6" s="1">
        <v>-0.27</v>
      </c>
      <c r="H6" s="1">
        <v>0.46</v>
      </c>
      <c r="I6" s="1">
        <v>0.03</v>
      </c>
      <c r="J6" s="1">
        <v>-1.65</v>
      </c>
    </row>
    <row r="7" spans="2:10" x14ac:dyDescent="0.2">
      <c r="B7" s="2">
        <v>106.59</v>
      </c>
      <c r="C7" s="1">
        <v>106.59</v>
      </c>
      <c r="D7" s="2">
        <v>0.22</v>
      </c>
      <c r="E7" s="2">
        <v>88.66</v>
      </c>
      <c r="F7" s="2">
        <v>0.41</v>
      </c>
      <c r="G7" s="1">
        <v>-0.33</v>
      </c>
      <c r="H7" s="1">
        <v>0.6</v>
      </c>
      <c r="I7" s="1">
        <v>-0.33</v>
      </c>
      <c r="J7" s="1">
        <v>-41.66</v>
      </c>
    </row>
    <row r="8" spans="2:10" x14ac:dyDescent="0.2">
      <c r="B8" s="2">
        <v>134.29</v>
      </c>
      <c r="C8" s="1">
        <v>134.29</v>
      </c>
      <c r="D8" s="2">
        <v>0.11</v>
      </c>
      <c r="E8" s="2">
        <v>117.84</v>
      </c>
      <c r="F8" s="2">
        <v>0.15</v>
      </c>
      <c r="G8" s="1">
        <v>-0.34</v>
      </c>
      <c r="H8" s="1">
        <v>0.68</v>
      </c>
      <c r="I8" s="1">
        <v>-0.12</v>
      </c>
      <c r="J8" s="1">
        <v>31.6</v>
      </c>
    </row>
    <row r="9" spans="2:10" x14ac:dyDescent="0.2">
      <c r="B9" s="2">
        <v>164.3</v>
      </c>
      <c r="C9" s="1">
        <v>164.3</v>
      </c>
      <c r="D9" s="2">
        <v>0.1</v>
      </c>
      <c r="E9" s="2">
        <v>105.05</v>
      </c>
      <c r="F9" s="2">
        <v>0.03</v>
      </c>
      <c r="G9" s="1">
        <v>-0.36</v>
      </c>
      <c r="H9" s="1">
        <v>0.73</v>
      </c>
      <c r="I9" s="1">
        <v>-0.01</v>
      </c>
      <c r="J9" s="1">
        <v>-12.79</v>
      </c>
    </row>
    <row r="10" spans="2:10" x14ac:dyDescent="0.2">
      <c r="B10" s="2">
        <v>193.46</v>
      </c>
      <c r="C10" s="1">
        <v>193.46</v>
      </c>
      <c r="D10" s="2">
        <v>0.13</v>
      </c>
      <c r="E10" s="2">
        <v>69.31</v>
      </c>
      <c r="F10" s="2">
        <v>0.08</v>
      </c>
      <c r="G10" s="1">
        <v>-0.35</v>
      </c>
      <c r="H10" s="1">
        <v>0.78</v>
      </c>
      <c r="I10" s="1">
        <v>0.03</v>
      </c>
      <c r="J10" s="1">
        <v>-36.770000000000003</v>
      </c>
    </row>
    <row r="11" spans="2:10" x14ac:dyDescent="0.2">
      <c r="B11" s="2">
        <v>222.05</v>
      </c>
      <c r="C11" s="1">
        <v>222.05</v>
      </c>
      <c r="D11" s="2">
        <v>0.17</v>
      </c>
      <c r="E11" s="2">
        <v>40.909999999999997</v>
      </c>
      <c r="F11" s="2">
        <v>0.09</v>
      </c>
      <c r="G11" s="1">
        <v>-0.31</v>
      </c>
      <c r="H11" s="1">
        <v>0.84</v>
      </c>
      <c r="I11" s="1">
        <v>0.04</v>
      </c>
      <c r="J11" s="1">
        <v>-29.8</v>
      </c>
    </row>
    <row r="12" spans="2:10" x14ac:dyDescent="0.2">
      <c r="B12" s="2">
        <v>251.88</v>
      </c>
      <c r="C12" s="1">
        <v>251.88</v>
      </c>
      <c r="D12" s="2">
        <v>0.1</v>
      </c>
      <c r="E12" s="2">
        <v>277.37</v>
      </c>
      <c r="F12" s="2">
        <v>0.24</v>
      </c>
      <c r="G12" s="1">
        <v>-0.27</v>
      </c>
      <c r="H12" s="1">
        <v>0.84</v>
      </c>
      <c r="I12" s="1">
        <v>-7.0000000000000007E-2</v>
      </c>
      <c r="J12" s="1">
        <v>-124.24</v>
      </c>
    </row>
    <row r="13" spans="2:10" x14ac:dyDescent="0.2">
      <c r="B13" s="2">
        <v>281.25</v>
      </c>
      <c r="C13" s="1">
        <v>281.25</v>
      </c>
      <c r="D13" s="2">
        <v>0.22</v>
      </c>
      <c r="E13" s="2">
        <v>14.85</v>
      </c>
      <c r="F13" s="2">
        <v>0.26</v>
      </c>
      <c r="G13" s="1">
        <v>-0.22</v>
      </c>
      <c r="H13" s="1">
        <v>0.83</v>
      </c>
      <c r="I13" s="1">
        <v>0.12</v>
      </c>
      <c r="J13" s="1">
        <v>99.57</v>
      </c>
    </row>
    <row r="14" spans="2:10" x14ac:dyDescent="0.2">
      <c r="B14" s="2">
        <v>309.92</v>
      </c>
      <c r="C14" s="1">
        <v>309.92</v>
      </c>
      <c r="D14" s="2">
        <v>0.2</v>
      </c>
      <c r="E14" s="2">
        <v>10.19</v>
      </c>
      <c r="F14" s="2">
        <v>0.03</v>
      </c>
      <c r="G14" s="1">
        <v>-0.11</v>
      </c>
      <c r="H14" s="1">
        <v>0.86</v>
      </c>
      <c r="I14" s="1">
        <v>-0.02</v>
      </c>
      <c r="J14" s="1">
        <v>-4.88</v>
      </c>
    </row>
    <row r="15" spans="2:10" x14ac:dyDescent="0.2">
      <c r="B15" s="2">
        <v>339.48</v>
      </c>
      <c r="C15" s="1">
        <v>339.48</v>
      </c>
      <c r="D15" s="2">
        <v>7.0000000000000007E-2</v>
      </c>
      <c r="E15" s="2">
        <v>105.5</v>
      </c>
      <c r="F15" s="2">
        <v>0.22</v>
      </c>
      <c r="G15" s="1">
        <v>-7.0000000000000007E-2</v>
      </c>
      <c r="H15" s="1">
        <v>0.88</v>
      </c>
      <c r="I15" s="1">
        <v>-0.13</v>
      </c>
      <c r="J15" s="1">
        <v>96.73</v>
      </c>
    </row>
    <row r="16" spans="2:10" x14ac:dyDescent="0.2">
      <c r="B16" s="2">
        <v>368.47</v>
      </c>
      <c r="C16" s="1">
        <v>368.47</v>
      </c>
      <c r="D16" s="2">
        <v>0.21</v>
      </c>
      <c r="E16" s="2">
        <v>71.790000000000006</v>
      </c>
      <c r="F16" s="2">
        <v>0.16</v>
      </c>
      <c r="G16" s="1">
        <v>-0.06</v>
      </c>
      <c r="H16" s="1">
        <v>0.95</v>
      </c>
      <c r="I16" s="1">
        <v>0.14000000000000001</v>
      </c>
      <c r="J16" s="1">
        <v>-34.880000000000003</v>
      </c>
    </row>
    <row r="17" spans="2:10" x14ac:dyDescent="0.2">
      <c r="B17" s="2">
        <v>398.05</v>
      </c>
      <c r="C17" s="1">
        <v>398.05</v>
      </c>
      <c r="D17" s="2">
        <v>0.11</v>
      </c>
      <c r="E17" s="2">
        <v>193.04</v>
      </c>
      <c r="F17" s="2">
        <v>0.28999999999999998</v>
      </c>
      <c r="G17" s="1">
        <v>-7.0000000000000007E-2</v>
      </c>
      <c r="H17" s="1">
        <v>1</v>
      </c>
      <c r="I17" s="1">
        <v>-0.1</v>
      </c>
      <c r="J17" s="1">
        <v>122.97</v>
      </c>
    </row>
    <row r="18" spans="2:10" x14ac:dyDescent="0.2">
      <c r="B18" s="2">
        <v>427.65</v>
      </c>
      <c r="C18" s="1">
        <v>427.65</v>
      </c>
      <c r="D18" s="2">
        <v>0.15</v>
      </c>
      <c r="E18" s="2">
        <v>293.76</v>
      </c>
      <c r="F18" s="2">
        <v>0.2</v>
      </c>
      <c r="G18" s="1">
        <v>-0.08</v>
      </c>
      <c r="H18" s="1">
        <v>0.95</v>
      </c>
      <c r="I18" s="1">
        <v>0.04</v>
      </c>
      <c r="J18" s="1">
        <v>102.08</v>
      </c>
    </row>
    <row r="19" spans="2:10" x14ac:dyDescent="0.2">
      <c r="B19" s="2">
        <v>457.21</v>
      </c>
      <c r="C19" s="1">
        <v>457.21</v>
      </c>
      <c r="D19" s="2">
        <v>0.23</v>
      </c>
      <c r="E19" s="2">
        <v>224.14</v>
      </c>
      <c r="F19" s="2">
        <v>0.23</v>
      </c>
      <c r="G19" s="1">
        <v>-0.11</v>
      </c>
      <c r="H19" s="1">
        <v>0.88</v>
      </c>
      <c r="I19" s="1">
        <v>0.08</v>
      </c>
      <c r="J19" s="1">
        <v>-70.66</v>
      </c>
    </row>
    <row r="20" spans="2:10" x14ac:dyDescent="0.2">
      <c r="B20" s="2">
        <v>486.77</v>
      </c>
      <c r="C20" s="1">
        <v>486.77</v>
      </c>
      <c r="D20" s="2">
        <v>0.39</v>
      </c>
      <c r="E20" s="2">
        <v>249.67</v>
      </c>
      <c r="F20" s="2">
        <v>0.21</v>
      </c>
      <c r="G20" s="1">
        <v>-0.18</v>
      </c>
      <c r="H20" s="1">
        <v>0.74</v>
      </c>
      <c r="I20" s="1">
        <v>0.16</v>
      </c>
      <c r="J20" s="1">
        <v>25.91</v>
      </c>
    </row>
    <row r="21" spans="2:10" x14ac:dyDescent="0.2">
      <c r="B21" s="2">
        <v>516.37</v>
      </c>
      <c r="C21" s="1">
        <v>516.37</v>
      </c>
      <c r="D21" s="2">
        <v>0.34</v>
      </c>
      <c r="E21" s="2">
        <v>263.37</v>
      </c>
      <c r="F21" s="2">
        <v>0.1</v>
      </c>
      <c r="G21" s="1">
        <v>-0.23</v>
      </c>
      <c r="H21" s="1">
        <v>0.56000000000000005</v>
      </c>
      <c r="I21" s="1">
        <v>-0.05</v>
      </c>
      <c r="J21" s="1">
        <v>13.89</v>
      </c>
    </row>
    <row r="22" spans="2:10" x14ac:dyDescent="0.2">
      <c r="B22" s="2">
        <v>545.29999999999995</v>
      </c>
      <c r="C22" s="1">
        <v>545.29999999999995</v>
      </c>
      <c r="D22" s="2">
        <v>0.1</v>
      </c>
      <c r="E22" s="2">
        <v>260.32</v>
      </c>
      <c r="F22" s="2">
        <v>0.25</v>
      </c>
      <c r="G22" s="1">
        <v>-0.24</v>
      </c>
      <c r="H22" s="1">
        <v>0.45</v>
      </c>
      <c r="I22" s="1">
        <v>-0.25</v>
      </c>
      <c r="J22" s="1">
        <v>-3.16</v>
      </c>
    </row>
    <row r="23" spans="2:10" x14ac:dyDescent="0.2">
      <c r="B23" s="2">
        <v>574.98</v>
      </c>
      <c r="C23" s="1">
        <v>574.98</v>
      </c>
      <c r="D23" s="2">
        <v>0.12</v>
      </c>
      <c r="E23" s="2">
        <v>256.20999999999998</v>
      </c>
      <c r="F23" s="2">
        <v>0.02</v>
      </c>
      <c r="G23" s="1">
        <v>-0.25</v>
      </c>
      <c r="H23" s="1">
        <v>0.39</v>
      </c>
      <c r="I23" s="1">
        <v>0.02</v>
      </c>
      <c r="J23" s="1">
        <v>-4.1500000000000004</v>
      </c>
    </row>
    <row r="24" spans="2:10" x14ac:dyDescent="0.2">
      <c r="B24" s="2">
        <v>604.65</v>
      </c>
      <c r="C24" s="1">
        <v>604.65</v>
      </c>
      <c r="D24" s="2">
        <v>0.03</v>
      </c>
      <c r="E24" s="2">
        <v>119.59</v>
      </c>
      <c r="F24" s="2">
        <v>0.14000000000000001</v>
      </c>
      <c r="G24" s="1">
        <v>-0.27</v>
      </c>
      <c r="H24" s="1">
        <v>0.37</v>
      </c>
      <c r="I24" s="1">
        <v>-0.09</v>
      </c>
      <c r="J24" s="1">
        <v>-138.13999999999999</v>
      </c>
    </row>
    <row r="25" spans="2:10" x14ac:dyDescent="0.2">
      <c r="B25" s="2">
        <v>634</v>
      </c>
      <c r="C25" s="1">
        <v>634</v>
      </c>
      <c r="D25" s="2">
        <v>0.16</v>
      </c>
      <c r="E25" s="2">
        <v>183.73</v>
      </c>
      <c r="F25" s="2">
        <v>0.15</v>
      </c>
      <c r="G25" s="1">
        <v>-0.31</v>
      </c>
      <c r="H25" s="1">
        <v>0.37</v>
      </c>
      <c r="I25" s="1">
        <v>0.13</v>
      </c>
      <c r="J25" s="1">
        <v>65.56</v>
      </c>
    </row>
    <row r="26" spans="2:10" x14ac:dyDescent="0.2">
      <c r="B26" s="2">
        <v>663.09</v>
      </c>
      <c r="C26" s="1">
        <v>663.08</v>
      </c>
      <c r="D26" s="2">
        <v>0.13</v>
      </c>
      <c r="E26" s="2">
        <v>178.81</v>
      </c>
      <c r="F26" s="2">
        <v>0.03</v>
      </c>
      <c r="G26" s="1">
        <v>-0.38</v>
      </c>
      <c r="H26" s="1">
        <v>0.37</v>
      </c>
      <c r="I26" s="1">
        <v>-0.03</v>
      </c>
      <c r="J26" s="1">
        <v>-5.07</v>
      </c>
    </row>
    <row r="27" spans="2:10" x14ac:dyDescent="0.2">
      <c r="B27" s="2">
        <v>692.15</v>
      </c>
      <c r="C27" s="1">
        <v>692.14</v>
      </c>
      <c r="D27" s="2">
        <v>0.11</v>
      </c>
      <c r="E27" s="2">
        <v>94.09</v>
      </c>
      <c r="F27" s="2">
        <v>0.17</v>
      </c>
      <c r="G27" s="1">
        <v>-0.42</v>
      </c>
      <c r="H27" s="1">
        <v>0.4</v>
      </c>
      <c r="I27" s="1">
        <v>-0.02</v>
      </c>
      <c r="J27" s="1">
        <v>-87.46</v>
      </c>
    </row>
    <row r="28" spans="2:10" x14ac:dyDescent="0.2">
      <c r="B28" s="2">
        <v>720.93</v>
      </c>
      <c r="C28" s="1">
        <v>720.92</v>
      </c>
      <c r="D28" s="2">
        <v>0.18</v>
      </c>
      <c r="E28" s="2">
        <v>16.61</v>
      </c>
      <c r="F28" s="2">
        <v>0.2</v>
      </c>
      <c r="G28" s="1">
        <v>-0.38</v>
      </c>
      <c r="H28" s="1">
        <v>0.44</v>
      </c>
      <c r="I28" s="1">
        <v>7.0000000000000007E-2</v>
      </c>
      <c r="J28" s="1">
        <v>-80.760000000000005</v>
      </c>
    </row>
    <row r="29" spans="2:10" x14ac:dyDescent="0.2">
      <c r="B29" s="2">
        <v>742.79</v>
      </c>
      <c r="C29" s="1">
        <v>742.78</v>
      </c>
      <c r="D29" s="2">
        <v>0.17</v>
      </c>
      <c r="E29" s="2">
        <v>20.97</v>
      </c>
      <c r="F29" s="2">
        <v>0.02</v>
      </c>
      <c r="G29" s="1">
        <v>-0.31</v>
      </c>
      <c r="H29" s="1">
        <v>0.46</v>
      </c>
      <c r="I29" s="1">
        <v>-0.01</v>
      </c>
      <c r="J29" s="1">
        <v>5.98</v>
      </c>
    </row>
    <row r="30" spans="2:10" x14ac:dyDescent="0.2">
      <c r="B30" s="2">
        <v>773.92</v>
      </c>
      <c r="C30" s="1">
        <v>773.91</v>
      </c>
      <c r="D30" s="2">
        <v>0.43</v>
      </c>
      <c r="E30" s="2">
        <v>345.37</v>
      </c>
      <c r="F30" s="2">
        <v>0.3</v>
      </c>
      <c r="G30" s="1">
        <v>-0.16</v>
      </c>
      <c r="H30" s="1">
        <v>0.45</v>
      </c>
      <c r="I30" s="1">
        <v>0.25</v>
      </c>
      <c r="J30" s="1">
        <v>-34.31</v>
      </c>
    </row>
    <row r="31" spans="2:10" x14ac:dyDescent="0.2">
      <c r="B31" s="2">
        <v>802.87</v>
      </c>
      <c r="C31" s="1">
        <v>802.86</v>
      </c>
      <c r="D31" s="2">
        <v>0.83</v>
      </c>
      <c r="E31" s="2">
        <v>75.650000000000006</v>
      </c>
      <c r="F31" s="2">
        <v>0.97</v>
      </c>
      <c r="G31" s="1">
        <v>0</v>
      </c>
      <c r="H31" s="1">
        <v>0.63</v>
      </c>
      <c r="I31" s="1">
        <v>0.41</v>
      </c>
      <c r="J31" s="1">
        <v>93.55</v>
      </c>
    </row>
    <row r="32" spans="2:10" x14ac:dyDescent="0.2">
      <c r="B32" s="2">
        <v>832.04</v>
      </c>
      <c r="C32" s="1">
        <v>832.02</v>
      </c>
      <c r="D32" s="2">
        <v>2.27</v>
      </c>
      <c r="E32" s="2">
        <v>84.68</v>
      </c>
      <c r="F32" s="2">
        <v>1.5</v>
      </c>
      <c r="G32" s="1">
        <v>0.1</v>
      </c>
      <c r="H32" s="1">
        <v>1.41</v>
      </c>
      <c r="I32" s="1">
        <v>1.48</v>
      </c>
      <c r="J32" s="1">
        <v>9.2899999999999991</v>
      </c>
    </row>
    <row r="33" spans="2:10" x14ac:dyDescent="0.2">
      <c r="B33" s="2">
        <v>861.02</v>
      </c>
      <c r="C33" s="1">
        <v>860.96</v>
      </c>
      <c r="D33" s="2">
        <v>3.76</v>
      </c>
      <c r="E33" s="2">
        <v>85.92</v>
      </c>
      <c r="F33" s="2">
        <v>1.54</v>
      </c>
      <c r="G33" s="1">
        <v>0.23</v>
      </c>
      <c r="H33" s="1">
        <v>2.92</v>
      </c>
      <c r="I33" s="1">
        <v>1.54</v>
      </c>
      <c r="J33" s="1">
        <v>1.28</v>
      </c>
    </row>
    <row r="34" spans="2:10" x14ac:dyDescent="0.2">
      <c r="B34" s="2">
        <v>889.93</v>
      </c>
      <c r="C34" s="1">
        <v>889.78</v>
      </c>
      <c r="D34" s="2">
        <v>5.4</v>
      </c>
      <c r="E34" s="2">
        <v>91.13</v>
      </c>
      <c r="F34" s="2">
        <v>1.75</v>
      </c>
      <c r="G34" s="1">
        <v>0.27</v>
      </c>
      <c r="H34" s="1">
        <v>5.23</v>
      </c>
      <c r="I34" s="1">
        <v>1.7</v>
      </c>
      <c r="J34" s="1">
        <v>5.41</v>
      </c>
    </row>
    <row r="35" spans="2:10" x14ac:dyDescent="0.2">
      <c r="B35" s="2">
        <v>918.8</v>
      </c>
      <c r="C35" s="1">
        <v>918.48</v>
      </c>
      <c r="D35" s="2">
        <v>6.92</v>
      </c>
      <c r="E35" s="2">
        <v>90.49</v>
      </c>
      <c r="F35" s="2">
        <v>1.58</v>
      </c>
      <c r="G35" s="1">
        <v>0.22</v>
      </c>
      <c r="H35" s="1">
        <v>8.33</v>
      </c>
      <c r="I35" s="1">
        <v>1.58</v>
      </c>
      <c r="J35" s="1">
        <v>-0.67</v>
      </c>
    </row>
    <row r="36" spans="2:10" x14ac:dyDescent="0.2">
      <c r="B36" s="2">
        <v>947.97</v>
      </c>
      <c r="C36" s="1">
        <v>947.39</v>
      </c>
      <c r="D36" s="2">
        <v>8.24</v>
      </c>
      <c r="E36" s="2">
        <v>90.62</v>
      </c>
      <c r="F36" s="2">
        <v>1.36</v>
      </c>
      <c r="G36" s="1">
        <v>0.19</v>
      </c>
      <c r="H36" s="1">
        <v>12.18</v>
      </c>
      <c r="I36" s="1">
        <v>1.36</v>
      </c>
      <c r="J36" s="1">
        <v>0.13</v>
      </c>
    </row>
    <row r="37" spans="2:10" x14ac:dyDescent="0.2">
      <c r="B37" s="2">
        <v>977.14</v>
      </c>
      <c r="C37" s="1">
        <v>976.21</v>
      </c>
      <c r="D37" s="2">
        <v>9.73</v>
      </c>
      <c r="E37" s="2">
        <v>88.53</v>
      </c>
      <c r="F37" s="2">
        <v>1.57</v>
      </c>
      <c r="G37" s="1">
        <v>0.23</v>
      </c>
      <c r="H37" s="1">
        <v>16.73</v>
      </c>
      <c r="I37" s="1">
        <v>1.53</v>
      </c>
      <c r="J37" s="1">
        <v>-2.15</v>
      </c>
    </row>
    <row r="38" spans="2:10" x14ac:dyDescent="0.2">
      <c r="B38" s="2">
        <v>1006.39</v>
      </c>
      <c r="C38" s="1">
        <v>1004.96</v>
      </c>
      <c r="D38" s="2">
        <v>11.43</v>
      </c>
      <c r="E38" s="2">
        <v>85.67</v>
      </c>
      <c r="F38" s="2">
        <v>1.82</v>
      </c>
      <c r="G38" s="1">
        <v>0.51</v>
      </c>
      <c r="H38" s="1">
        <v>22.09</v>
      </c>
      <c r="I38" s="1">
        <v>1.74</v>
      </c>
      <c r="J38" s="1">
        <v>-2.93</v>
      </c>
    </row>
    <row r="39" spans="2:10" x14ac:dyDescent="0.2">
      <c r="B39" s="2">
        <v>1035.49</v>
      </c>
      <c r="C39" s="1">
        <v>1033.4100000000001</v>
      </c>
      <c r="D39" s="2">
        <v>12.74</v>
      </c>
      <c r="E39" s="2">
        <v>87.2</v>
      </c>
      <c r="F39" s="2">
        <v>1.39</v>
      </c>
      <c r="G39" s="1">
        <v>0.88</v>
      </c>
      <c r="H39" s="1">
        <v>28.17</v>
      </c>
      <c r="I39" s="1">
        <v>1.35</v>
      </c>
      <c r="J39" s="1">
        <v>1.58</v>
      </c>
    </row>
    <row r="40" spans="2:10" x14ac:dyDescent="0.2">
      <c r="B40" s="2">
        <v>1064.6300000000001</v>
      </c>
      <c r="C40" s="1">
        <v>1061.78</v>
      </c>
      <c r="D40" s="2">
        <v>13.7</v>
      </c>
      <c r="E40" s="2">
        <v>89.46</v>
      </c>
      <c r="F40" s="2">
        <v>1.1200000000000001</v>
      </c>
      <c r="G40" s="1">
        <v>1.07</v>
      </c>
      <c r="H40" s="1">
        <v>34.83</v>
      </c>
      <c r="I40" s="1">
        <v>0.99</v>
      </c>
      <c r="J40" s="1">
        <v>2.33</v>
      </c>
    </row>
    <row r="41" spans="2:10" x14ac:dyDescent="0.2">
      <c r="B41" s="2">
        <v>1093.1300000000001</v>
      </c>
      <c r="C41" s="1">
        <v>1089.3800000000001</v>
      </c>
      <c r="D41" s="2">
        <v>15.16</v>
      </c>
      <c r="E41" s="2">
        <v>88.45</v>
      </c>
      <c r="F41" s="2">
        <v>1.56</v>
      </c>
      <c r="G41" s="1">
        <v>1.21</v>
      </c>
      <c r="H41" s="1">
        <v>41.93</v>
      </c>
      <c r="I41" s="1">
        <v>1.54</v>
      </c>
      <c r="J41" s="1">
        <v>-1.06</v>
      </c>
    </row>
    <row r="42" spans="2:10" x14ac:dyDescent="0.2">
      <c r="B42" s="2">
        <v>1122.24</v>
      </c>
      <c r="C42" s="1">
        <v>1117.3800000000001</v>
      </c>
      <c r="D42" s="2">
        <v>16.57</v>
      </c>
      <c r="E42" s="2">
        <v>85.2</v>
      </c>
      <c r="F42" s="2">
        <v>1.72</v>
      </c>
      <c r="G42" s="1">
        <v>1.66</v>
      </c>
      <c r="H42" s="1">
        <v>49.87</v>
      </c>
      <c r="I42" s="1">
        <v>1.45</v>
      </c>
      <c r="J42" s="1">
        <v>-3.35</v>
      </c>
    </row>
    <row r="43" spans="2:10" x14ac:dyDescent="0.2">
      <c r="B43" s="2">
        <v>1151.47</v>
      </c>
      <c r="C43" s="1">
        <v>1145.3499999999999</v>
      </c>
      <c r="D43" s="2">
        <v>17.23</v>
      </c>
      <c r="E43" s="2">
        <v>83.41</v>
      </c>
      <c r="F43" s="2">
        <v>0.86</v>
      </c>
      <c r="G43" s="1">
        <v>2.5</v>
      </c>
      <c r="H43" s="1">
        <v>58.33</v>
      </c>
      <c r="I43" s="1">
        <v>0.68</v>
      </c>
      <c r="J43" s="1">
        <v>-1.84</v>
      </c>
    </row>
    <row r="44" spans="2:10" x14ac:dyDescent="0.2">
      <c r="B44" s="2">
        <v>1179.9100000000001</v>
      </c>
      <c r="C44" s="1">
        <v>1172.51</v>
      </c>
      <c r="D44" s="2">
        <v>17.28</v>
      </c>
      <c r="E44" s="2">
        <v>82.78</v>
      </c>
      <c r="F44" s="2">
        <v>0.2</v>
      </c>
      <c r="G44" s="1">
        <v>3.52</v>
      </c>
      <c r="H44" s="1">
        <v>66.7</v>
      </c>
      <c r="I44" s="1">
        <v>0.05</v>
      </c>
      <c r="J44" s="1">
        <v>-0.66</v>
      </c>
    </row>
    <row r="45" spans="2:10" x14ac:dyDescent="0.2">
      <c r="B45" s="2">
        <v>1208.47</v>
      </c>
      <c r="C45" s="1">
        <v>1199.77</v>
      </c>
      <c r="D45" s="2">
        <v>17.36</v>
      </c>
      <c r="E45" s="2">
        <v>82.56</v>
      </c>
      <c r="F45" s="2">
        <v>0.11</v>
      </c>
      <c r="G45" s="1">
        <v>4.5999999999999996</v>
      </c>
      <c r="H45" s="1">
        <v>75.14</v>
      </c>
      <c r="I45" s="1">
        <v>0.08</v>
      </c>
      <c r="J45" s="1">
        <v>-0.23</v>
      </c>
    </row>
    <row r="46" spans="2:10" x14ac:dyDescent="0.2">
      <c r="B46" s="2">
        <v>1237.04</v>
      </c>
      <c r="C46" s="1">
        <v>1227.07</v>
      </c>
      <c r="D46" s="2">
        <v>16.95</v>
      </c>
      <c r="E46" s="2">
        <v>82.23</v>
      </c>
      <c r="F46" s="2">
        <v>0.44</v>
      </c>
      <c r="G46" s="1">
        <v>5.72</v>
      </c>
      <c r="H46" s="1">
        <v>83.49</v>
      </c>
      <c r="I46" s="1">
        <v>-0.43</v>
      </c>
      <c r="J46" s="1">
        <v>-0.35</v>
      </c>
    </row>
    <row r="47" spans="2:10" x14ac:dyDescent="0.2">
      <c r="B47" s="2">
        <v>1265.5899999999999</v>
      </c>
      <c r="C47" s="1">
        <v>1254.47</v>
      </c>
      <c r="D47" s="2">
        <v>15.71</v>
      </c>
      <c r="E47" s="2">
        <v>81.42</v>
      </c>
      <c r="F47" s="2">
        <v>1.32</v>
      </c>
      <c r="G47" s="1">
        <v>6.86</v>
      </c>
      <c r="H47" s="1">
        <v>91.43</v>
      </c>
      <c r="I47" s="1">
        <v>-1.3</v>
      </c>
      <c r="J47" s="1">
        <v>-0.85</v>
      </c>
    </row>
    <row r="48" spans="2:10" x14ac:dyDescent="0.2">
      <c r="B48" s="2">
        <v>1294.4100000000001</v>
      </c>
      <c r="C48" s="1">
        <v>1282.3800000000001</v>
      </c>
      <c r="D48" s="2">
        <v>13.1</v>
      </c>
      <c r="E48" s="2">
        <v>80.59</v>
      </c>
      <c r="F48" s="2">
        <v>2.73</v>
      </c>
      <c r="G48" s="1">
        <v>7.97</v>
      </c>
      <c r="H48" s="1">
        <v>98.52</v>
      </c>
      <c r="I48" s="1">
        <v>-2.72</v>
      </c>
      <c r="J48" s="1">
        <v>-0.86</v>
      </c>
    </row>
    <row r="49" spans="2:10" x14ac:dyDescent="0.2">
      <c r="B49" s="2">
        <v>1323.3</v>
      </c>
      <c r="C49" s="1">
        <v>1310.52</v>
      </c>
      <c r="D49" s="2">
        <v>13.02</v>
      </c>
      <c r="E49" s="2">
        <v>80.42</v>
      </c>
      <c r="F49" s="2">
        <v>0.09</v>
      </c>
      <c r="G49" s="1">
        <v>9.0500000000000007</v>
      </c>
      <c r="H49" s="1">
        <v>104.95</v>
      </c>
      <c r="I49" s="1">
        <v>-0.08</v>
      </c>
      <c r="J49" s="1">
        <v>-0.18</v>
      </c>
    </row>
    <row r="50" spans="2:10" x14ac:dyDescent="0.2">
      <c r="B50" s="2">
        <v>1352.3</v>
      </c>
      <c r="C50" s="1">
        <v>1338.82</v>
      </c>
      <c r="D50" s="2">
        <v>12.29</v>
      </c>
      <c r="E50" s="2">
        <v>80.61</v>
      </c>
      <c r="F50" s="2">
        <v>0.76</v>
      </c>
      <c r="G50" s="1">
        <v>10.1</v>
      </c>
      <c r="H50" s="1">
        <v>111.22</v>
      </c>
      <c r="I50" s="1">
        <v>-0.76</v>
      </c>
      <c r="J50" s="1">
        <v>0.2</v>
      </c>
    </row>
    <row r="51" spans="2:10" x14ac:dyDescent="0.2">
      <c r="B51" s="2">
        <v>1383.17</v>
      </c>
      <c r="C51" s="1">
        <v>1369</v>
      </c>
      <c r="D51" s="2">
        <v>12.07</v>
      </c>
      <c r="E51" s="2">
        <v>80.48</v>
      </c>
      <c r="F51" s="2">
        <v>0.22</v>
      </c>
      <c r="G51" s="1">
        <v>11.17</v>
      </c>
      <c r="H51" s="1">
        <v>117.65</v>
      </c>
      <c r="I51" s="1">
        <v>-0.21</v>
      </c>
      <c r="J51" s="1">
        <v>-0.13</v>
      </c>
    </row>
    <row r="52" spans="2:10" x14ac:dyDescent="0.2">
      <c r="B52" s="2">
        <v>1411.42</v>
      </c>
      <c r="C52" s="1">
        <v>1396.65</v>
      </c>
      <c r="D52" s="2">
        <v>11.59</v>
      </c>
      <c r="E52" s="2">
        <v>80.150000000000006</v>
      </c>
      <c r="F52" s="2">
        <v>0.51</v>
      </c>
      <c r="G52" s="1">
        <v>12.14</v>
      </c>
      <c r="H52" s="1">
        <v>123.35</v>
      </c>
      <c r="I52" s="1">
        <v>-0.51</v>
      </c>
      <c r="J52" s="1">
        <v>-0.35</v>
      </c>
    </row>
    <row r="53" spans="2:10" x14ac:dyDescent="0.2">
      <c r="B53" s="2">
        <v>1440.24</v>
      </c>
      <c r="C53" s="1">
        <v>1424.86</v>
      </c>
      <c r="D53" s="2">
        <v>11.9</v>
      </c>
      <c r="E53" s="2">
        <v>84.33</v>
      </c>
      <c r="F53" s="2">
        <v>0.94</v>
      </c>
      <c r="G53" s="1">
        <v>12.93</v>
      </c>
      <c r="H53" s="1">
        <v>129.16</v>
      </c>
      <c r="I53" s="1">
        <v>0.32</v>
      </c>
      <c r="J53" s="1">
        <v>4.3499999999999996</v>
      </c>
    </row>
    <row r="54" spans="2:10" x14ac:dyDescent="0.2">
      <c r="B54" s="2">
        <v>1469.04</v>
      </c>
      <c r="C54" s="1">
        <v>1453.07</v>
      </c>
      <c r="D54" s="2">
        <v>11.4</v>
      </c>
      <c r="E54" s="2">
        <v>85.38</v>
      </c>
      <c r="F54" s="2">
        <v>0.56999999999999995</v>
      </c>
      <c r="G54" s="1">
        <v>13.45</v>
      </c>
      <c r="H54" s="1">
        <v>134.96</v>
      </c>
      <c r="I54" s="1">
        <v>-0.52</v>
      </c>
      <c r="J54" s="1">
        <v>1.0900000000000001</v>
      </c>
    </row>
    <row r="55" spans="2:10" x14ac:dyDescent="0.2">
      <c r="B55" s="2">
        <v>1498.03</v>
      </c>
      <c r="C55" s="1">
        <v>1481.52</v>
      </c>
      <c r="D55" s="2">
        <v>10.76</v>
      </c>
      <c r="E55" s="2">
        <v>84.52</v>
      </c>
      <c r="F55" s="2">
        <v>0.68</v>
      </c>
      <c r="G55" s="1">
        <v>13.94</v>
      </c>
      <c r="H55" s="1">
        <v>140.51</v>
      </c>
      <c r="I55" s="1">
        <v>-0.66</v>
      </c>
      <c r="J55" s="1">
        <v>-0.89</v>
      </c>
    </row>
    <row r="56" spans="2:10" x14ac:dyDescent="0.2">
      <c r="B56" s="2">
        <v>1526.89</v>
      </c>
      <c r="C56" s="1">
        <v>1509.89</v>
      </c>
      <c r="D56" s="2">
        <v>10.29</v>
      </c>
      <c r="E56" s="2">
        <v>84.56</v>
      </c>
      <c r="F56" s="2">
        <v>0.49</v>
      </c>
      <c r="G56" s="1">
        <v>14.44</v>
      </c>
      <c r="H56" s="1">
        <v>145.75</v>
      </c>
      <c r="I56" s="1">
        <v>-0.49</v>
      </c>
      <c r="J56" s="1">
        <v>0.04</v>
      </c>
    </row>
    <row r="57" spans="2:10" x14ac:dyDescent="0.2">
      <c r="B57" s="2">
        <v>1555.84</v>
      </c>
      <c r="C57" s="1">
        <v>1538.41</v>
      </c>
      <c r="D57" s="2">
        <v>9.61</v>
      </c>
      <c r="E57" s="2">
        <v>84.35</v>
      </c>
      <c r="F57" s="2">
        <v>0.71</v>
      </c>
      <c r="G57" s="1">
        <v>14.93</v>
      </c>
      <c r="H57" s="1">
        <v>150.72999999999999</v>
      </c>
      <c r="I57" s="1">
        <v>-0.7</v>
      </c>
      <c r="J57" s="1">
        <v>-0.22</v>
      </c>
    </row>
    <row r="58" spans="2:10" x14ac:dyDescent="0.2">
      <c r="B58" s="2">
        <v>1584.66</v>
      </c>
      <c r="C58" s="1">
        <v>1566.83</v>
      </c>
      <c r="D58" s="2">
        <v>9.43</v>
      </c>
      <c r="E58" s="2">
        <v>83.73</v>
      </c>
      <c r="F58" s="2">
        <v>0.22</v>
      </c>
      <c r="G58" s="1">
        <v>15.42</v>
      </c>
      <c r="H58" s="1">
        <v>155.47</v>
      </c>
      <c r="I58" s="1">
        <v>-0.19</v>
      </c>
      <c r="J58" s="1">
        <v>-0.65</v>
      </c>
    </row>
    <row r="59" spans="2:10" x14ac:dyDescent="0.2">
      <c r="B59" s="2">
        <v>1613.51</v>
      </c>
      <c r="C59" s="1">
        <v>1595.3</v>
      </c>
      <c r="D59" s="2">
        <v>9.27</v>
      </c>
      <c r="E59" s="2">
        <v>83.18</v>
      </c>
      <c r="F59" s="2">
        <v>0.19</v>
      </c>
      <c r="G59" s="1">
        <v>15.95</v>
      </c>
      <c r="H59" s="1">
        <v>160.13</v>
      </c>
      <c r="I59" s="1">
        <v>-0.17</v>
      </c>
      <c r="J59" s="1">
        <v>-0.56999999999999995</v>
      </c>
    </row>
    <row r="60" spans="2:10" x14ac:dyDescent="0.2">
      <c r="B60" s="2">
        <v>1642.6</v>
      </c>
      <c r="C60" s="1">
        <v>1624.02</v>
      </c>
      <c r="D60" s="2">
        <v>9.01</v>
      </c>
      <c r="E60" s="2">
        <v>82.65</v>
      </c>
      <c r="F60" s="2">
        <v>0.28000000000000003</v>
      </c>
      <c r="G60" s="1">
        <v>16.52</v>
      </c>
      <c r="H60" s="1">
        <v>164.72</v>
      </c>
      <c r="I60" s="1">
        <v>-0.27</v>
      </c>
      <c r="J60" s="1">
        <v>-0.55000000000000004</v>
      </c>
    </row>
    <row r="61" spans="2:10" x14ac:dyDescent="0.2">
      <c r="B61" s="2">
        <v>1671.77</v>
      </c>
      <c r="C61" s="1">
        <v>1652.84</v>
      </c>
      <c r="D61" s="2">
        <v>8.6300000000000008</v>
      </c>
      <c r="E61" s="2">
        <v>82.77</v>
      </c>
      <c r="F61" s="2">
        <v>0.39</v>
      </c>
      <c r="G61" s="1">
        <v>17.09</v>
      </c>
      <c r="H61" s="1">
        <v>169.15</v>
      </c>
      <c r="I61" s="1">
        <v>-0.39</v>
      </c>
      <c r="J61" s="1">
        <v>0.12</v>
      </c>
    </row>
    <row r="62" spans="2:10" x14ac:dyDescent="0.2">
      <c r="B62" s="2">
        <v>1701.09</v>
      </c>
      <c r="C62" s="1">
        <v>1681.88</v>
      </c>
      <c r="D62" s="2">
        <v>7.16</v>
      </c>
      <c r="E62" s="2">
        <v>83.74</v>
      </c>
      <c r="F62" s="2">
        <v>1.51</v>
      </c>
      <c r="G62" s="1">
        <v>17.57</v>
      </c>
      <c r="H62" s="1">
        <v>173.15</v>
      </c>
      <c r="I62" s="1">
        <v>-1.5</v>
      </c>
      <c r="J62" s="1">
        <v>0.99</v>
      </c>
    </row>
    <row r="63" spans="2:10" x14ac:dyDescent="0.2">
      <c r="B63" s="2">
        <v>1729.79</v>
      </c>
      <c r="C63" s="1">
        <v>1710.37</v>
      </c>
      <c r="D63" s="2">
        <v>6.9</v>
      </c>
      <c r="E63" s="2">
        <v>83.73</v>
      </c>
      <c r="F63" s="2">
        <v>0.27</v>
      </c>
      <c r="G63" s="1">
        <v>17.95</v>
      </c>
      <c r="H63" s="1">
        <v>176.64</v>
      </c>
      <c r="I63" s="1">
        <v>-0.27</v>
      </c>
      <c r="J63" s="1">
        <v>-0.01</v>
      </c>
    </row>
    <row r="64" spans="2:10" x14ac:dyDescent="0.2">
      <c r="B64" s="2">
        <v>1758.54</v>
      </c>
      <c r="C64" s="1">
        <v>1738.96</v>
      </c>
      <c r="D64" s="2">
        <v>5.28</v>
      </c>
      <c r="E64" s="2">
        <v>89.46</v>
      </c>
      <c r="F64" s="2">
        <v>1.8</v>
      </c>
      <c r="G64" s="1">
        <v>18.149999999999999</v>
      </c>
      <c r="H64" s="1">
        <v>179.68</v>
      </c>
      <c r="I64" s="1">
        <v>-1.69</v>
      </c>
      <c r="J64" s="1">
        <v>5.98</v>
      </c>
    </row>
    <row r="65" spans="2:10" x14ac:dyDescent="0.2">
      <c r="B65" s="2">
        <v>1787.03</v>
      </c>
      <c r="C65" s="1">
        <v>1767.35</v>
      </c>
      <c r="D65" s="2">
        <v>3.85</v>
      </c>
      <c r="E65" s="2">
        <v>99.71</v>
      </c>
      <c r="F65" s="2">
        <v>1.73</v>
      </c>
      <c r="G65" s="1">
        <v>18</v>
      </c>
      <c r="H65" s="1">
        <v>181.94</v>
      </c>
      <c r="I65" s="1">
        <v>-1.51</v>
      </c>
      <c r="J65" s="1">
        <v>10.79</v>
      </c>
    </row>
    <row r="66" spans="2:10" x14ac:dyDescent="0.2">
      <c r="B66" s="2">
        <v>1815.88</v>
      </c>
      <c r="C66" s="1">
        <v>1796.14</v>
      </c>
      <c r="D66" s="2">
        <v>3.88</v>
      </c>
      <c r="E66" s="2">
        <v>98.52</v>
      </c>
      <c r="F66" s="2">
        <v>0.09</v>
      </c>
      <c r="G66" s="1">
        <v>17.690000000000001</v>
      </c>
      <c r="H66" s="1">
        <v>183.86</v>
      </c>
      <c r="I66" s="1">
        <v>0.03</v>
      </c>
      <c r="J66" s="1">
        <v>-1.24</v>
      </c>
    </row>
    <row r="67" spans="2:10" x14ac:dyDescent="0.2">
      <c r="B67" s="2">
        <v>1835.01</v>
      </c>
      <c r="C67" s="1">
        <v>1815.23</v>
      </c>
      <c r="D67" s="2">
        <v>3.7</v>
      </c>
      <c r="E67" s="2">
        <v>98.27</v>
      </c>
      <c r="F67" s="2">
        <v>0.28000000000000003</v>
      </c>
      <c r="G67" s="1">
        <v>17.510000000000002</v>
      </c>
      <c r="H67" s="1">
        <v>185.11</v>
      </c>
      <c r="I67" s="1">
        <v>-0.28000000000000003</v>
      </c>
      <c r="J67" s="1">
        <v>-0.39</v>
      </c>
    </row>
    <row r="68" spans="2:10" x14ac:dyDescent="0.2">
      <c r="B68" s="2">
        <v>1868.38</v>
      </c>
      <c r="C68" s="1">
        <v>1848.54</v>
      </c>
      <c r="D68" s="2">
        <v>2.79</v>
      </c>
      <c r="E68" s="2">
        <v>103.61</v>
      </c>
      <c r="F68" s="2">
        <v>0.86</v>
      </c>
      <c r="G68" s="1">
        <v>17.16</v>
      </c>
      <c r="H68" s="1">
        <v>186.96</v>
      </c>
      <c r="I68" s="1">
        <v>-0.82</v>
      </c>
      <c r="J68" s="1">
        <v>4.8</v>
      </c>
    </row>
    <row r="69" spans="2:10" x14ac:dyDescent="0.2">
      <c r="B69" s="2">
        <v>1897.7</v>
      </c>
      <c r="C69" s="1">
        <v>1877.83</v>
      </c>
      <c r="D69" s="2">
        <v>2.59</v>
      </c>
      <c r="E69" s="2">
        <v>115.88</v>
      </c>
      <c r="F69" s="2">
        <v>0.62</v>
      </c>
      <c r="G69" s="1">
        <v>16.71</v>
      </c>
      <c r="H69" s="1">
        <v>188.25</v>
      </c>
      <c r="I69" s="1">
        <v>-0.2</v>
      </c>
      <c r="J69" s="1">
        <v>12.55</v>
      </c>
    </row>
    <row r="70" spans="2:10" x14ac:dyDescent="0.2">
      <c r="B70" s="2">
        <v>1926.63</v>
      </c>
      <c r="C70" s="1">
        <v>1906.74</v>
      </c>
      <c r="D70" s="2">
        <v>1.89</v>
      </c>
      <c r="E70" s="2">
        <v>126.16</v>
      </c>
      <c r="F70" s="2">
        <v>0.83</v>
      </c>
      <c r="G70" s="1">
        <v>16.14</v>
      </c>
      <c r="H70" s="1">
        <v>189.22</v>
      </c>
      <c r="I70" s="1">
        <v>-0.73</v>
      </c>
      <c r="J70" s="1">
        <v>10.66</v>
      </c>
    </row>
    <row r="71" spans="2:10" x14ac:dyDescent="0.2">
      <c r="B71" s="2">
        <v>1955.63</v>
      </c>
      <c r="C71" s="1">
        <v>1935.73</v>
      </c>
      <c r="D71" s="2">
        <v>1.48</v>
      </c>
      <c r="E71" s="2">
        <v>130.88</v>
      </c>
      <c r="F71" s="2">
        <v>0.45</v>
      </c>
      <c r="G71" s="1">
        <v>15.61</v>
      </c>
      <c r="H71" s="1">
        <v>189.89</v>
      </c>
      <c r="I71" s="1">
        <v>-0.42</v>
      </c>
      <c r="J71" s="1">
        <v>4.88</v>
      </c>
    </row>
    <row r="72" spans="2:10" x14ac:dyDescent="0.2">
      <c r="B72" s="2">
        <v>1984.47</v>
      </c>
      <c r="C72" s="1">
        <v>1964.56</v>
      </c>
      <c r="D72" s="2">
        <v>1.26</v>
      </c>
      <c r="E72" s="2">
        <v>163.13</v>
      </c>
      <c r="F72" s="2">
        <v>0.82</v>
      </c>
      <c r="G72" s="1">
        <v>15.07</v>
      </c>
      <c r="H72" s="1">
        <v>190.27</v>
      </c>
      <c r="I72" s="1">
        <v>-0.23</v>
      </c>
      <c r="J72" s="1">
        <v>33.549999999999997</v>
      </c>
    </row>
    <row r="73" spans="2:10" x14ac:dyDescent="0.2">
      <c r="B73" s="2">
        <v>2013.42</v>
      </c>
      <c r="C73" s="1">
        <v>1993.5</v>
      </c>
      <c r="D73" s="2">
        <v>0.92</v>
      </c>
      <c r="E73" s="2">
        <v>182.59</v>
      </c>
      <c r="F73" s="2">
        <v>0.52</v>
      </c>
      <c r="G73" s="1">
        <v>14.53</v>
      </c>
      <c r="H73" s="1">
        <v>190.35</v>
      </c>
      <c r="I73" s="1">
        <v>-0.35</v>
      </c>
      <c r="J73" s="1">
        <v>20.170000000000002</v>
      </c>
    </row>
    <row r="74" spans="2:10" x14ac:dyDescent="0.2">
      <c r="B74" s="2">
        <v>2042.48</v>
      </c>
      <c r="C74" s="1">
        <v>2022.56</v>
      </c>
      <c r="D74" s="2">
        <v>0.87</v>
      </c>
      <c r="E74" s="2">
        <v>192.67</v>
      </c>
      <c r="F74" s="2">
        <v>0.17</v>
      </c>
      <c r="G74" s="1">
        <v>14.08</v>
      </c>
      <c r="H74" s="1">
        <v>190.29</v>
      </c>
      <c r="I74" s="1">
        <v>-0.05</v>
      </c>
      <c r="J74" s="1">
        <v>10.41</v>
      </c>
    </row>
    <row r="75" spans="2:10" x14ac:dyDescent="0.2">
      <c r="B75" s="2">
        <v>2071.31</v>
      </c>
      <c r="C75" s="1">
        <v>2051.39</v>
      </c>
      <c r="D75" s="2">
        <v>0.87</v>
      </c>
      <c r="E75" s="2">
        <v>197.07</v>
      </c>
      <c r="F75" s="2">
        <v>7.0000000000000007E-2</v>
      </c>
      <c r="G75" s="1">
        <v>13.66</v>
      </c>
      <c r="H75" s="1">
        <v>190.18</v>
      </c>
      <c r="I75" s="1">
        <v>0</v>
      </c>
      <c r="J75" s="1">
        <v>4.58</v>
      </c>
    </row>
    <row r="76" spans="2:10" x14ac:dyDescent="0.2">
      <c r="B76" s="2">
        <v>2100.0300000000002</v>
      </c>
      <c r="C76" s="1">
        <v>2080.1</v>
      </c>
      <c r="D76" s="2">
        <v>0.8</v>
      </c>
      <c r="E76" s="2">
        <v>183.4</v>
      </c>
      <c r="F76" s="2">
        <v>0.22</v>
      </c>
      <c r="G76" s="1">
        <v>13.25</v>
      </c>
      <c r="H76" s="1">
        <v>190.1</v>
      </c>
      <c r="I76" s="1">
        <v>-7.0000000000000007E-2</v>
      </c>
      <c r="J76" s="1">
        <v>-14.28</v>
      </c>
    </row>
    <row r="77" spans="2:10" x14ac:dyDescent="0.2">
      <c r="B77" s="2">
        <v>2128.85</v>
      </c>
      <c r="C77" s="1">
        <v>2108.92</v>
      </c>
      <c r="D77" s="2">
        <v>0.85</v>
      </c>
      <c r="E77" s="2">
        <v>213.86</v>
      </c>
      <c r="F77" s="2">
        <v>0.45</v>
      </c>
      <c r="G77" s="1">
        <v>12.87</v>
      </c>
      <c r="H77" s="1">
        <v>189.97</v>
      </c>
      <c r="I77" s="1">
        <v>0.05</v>
      </c>
      <c r="J77" s="1">
        <v>31.71</v>
      </c>
    </row>
    <row r="78" spans="2:10" x14ac:dyDescent="0.2">
      <c r="B78" s="2">
        <v>2157.63</v>
      </c>
      <c r="C78" s="1">
        <v>2137.6999999999998</v>
      </c>
      <c r="D78" s="2">
        <v>1.03</v>
      </c>
      <c r="E78" s="2">
        <v>202.06</v>
      </c>
      <c r="F78" s="2">
        <v>0.27</v>
      </c>
      <c r="G78" s="1">
        <v>12.45</v>
      </c>
      <c r="H78" s="1">
        <v>189.75</v>
      </c>
      <c r="I78" s="1">
        <v>0.19</v>
      </c>
      <c r="J78" s="1">
        <v>-12.3</v>
      </c>
    </row>
    <row r="79" spans="2:10" x14ac:dyDescent="0.2">
      <c r="B79" s="2">
        <v>2181</v>
      </c>
      <c r="C79" s="1">
        <v>2161.06</v>
      </c>
      <c r="D79" s="2">
        <v>0.83099999999999996</v>
      </c>
      <c r="E79" s="2">
        <v>191.214</v>
      </c>
      <c r="F79" s="2">
        <v>0.34</v>
      </c>
      <c r="G79" s="1">
        <v>12.09</v>
      </c>
      <c r="H79" s="1">
        <v>189.64</v>
      </c>
      <c r="I79" s="1">
        <v>-0.25</v>
      </c>
      <c r="J79" s="1">
        <v>-13.92</v>
      </c>
    </row>
    <row r="80" spans="2:10" x14ac:dyDescent="0.2">
      <c r="B80" s="2">
        <v>2186.54</v>
      </c>
      <c r="C80" s="1">
        <v>2166.6</v>
      </c>
      <c r="D80" s="2">
        <v>0.79</v>
      </c>
      <c r="E80" s="2">
        <v>187.88</v>
      </c>
      <c r="F80" s="2">
        <v>0.34</v>
      </c>
      <c r="G80" s="1">
        <v>12.02</v>
      </c>
      <c r="H80" s="1">
        <v>189.63</v>
      </c>
      <c r="I80" s="1">
        <v>-0.22</v>
      </c>
      <c r="J80" s="1">
        <v>-18.05</v>
      </c>
    </row>
    <row r="81" spans="2:10" x14ac:dyDescent="0.2">
      <c r="B81" s="2">
        <v>2215.5</v>
      </c>
      <c r="C81" s="1">
        <v>2195.56</v>
      </c>
      <c r="D81" s="2">
        <v>0.65</v>
      </c>
      <c r="E81" s="2">
        <v>171.44</v>
      </c>
      <c r="F81" s="2">
        <v>0.26</v>
      </c>
      <c r="G81" s="1">
        <v>11.66</v>
      </c>
      <c r="H81" s="1">
        <v>189.63</v>
      </c>
      <c r="I81" s="1">
        <v>-0.15</v>
      </c>
      <c r="J81" s="1">
        <v>-17.03</v>
      </c>
    </row>
    <row r="82" spans="2:10" x14ac:dyDescent="0.2">
      <c r="B82" s="2">
        <v>2244.48</v>
      </c>
      <c r="C82" s="1">
        <v>2224.54</v>
      </c>
      <c r="D82" s="2">
        <v>0.61</v>
      </c>
      <c r="E82" s="2">
        <v>173.65</v>
      </c>
      <c r="F82" s="2">
        <v>0.05</v>
      </c>
      <c r="G82" s="1">
        <v>11.34</v>
      </c>
      <c r="H82" s="1">
        <v>189.67</v>
      </c>
      <c r="I82" s="1">
        <v>-0.04</v>
      </c>
      <c r="J82" s="1">
        <v>2.29</v>
      </c>
    </row>
    <row r="83" spans="2:10" x14ac:dyDescent="0.2">
      <c r="B83" s="2">
        <v>2273.52</v>
      </c>
      <c r="C83" s="1">
        <v>2253.58</v>
      </c>
      <c r="D83" s="2">
        <v>1.1599999999999999</v>
      </c>
      <c r="E83" s="2">
        <v>138.59</v>
      </c>
      <c r="F83" s="2">
        <v>0.77</v>
      </c>
      <c r="G83" s="1">
        <v>10.97</v>
      </c>
      <c r="H83" s="1">
        <v>189.88</v>
      </c>
      <c r="I83" s="1">
        <v>0.56999999999999995</v>
      </c>
      <c r="J83" s="1">
        <v>-36.22</v>
      </c>
    </row>
    <row r="84" spans="2:10" x14ac:dyDescent="0.2">
      <c r="B84" s="2">
        <v>2302.4299999999998</v>
      </c>
      <c r="C84" s="1">
        <v>2282.48</v>
      </c>
      <c r="D84" s="2">
        <v>1.0900000000000001</v>
      </c>
      <c r="E84" s="2">
        <v>138.19999999999999</v>
      </c>
      <c r="F84" s="2">
        <v>7.0000000000000007E-2</v>
      </c>
      <c r="G84" s="1">
        <v>10.54</v>
      </c>
      <c r="H84" s="1">
        <v>190.26</v>
      </c>
      <c r="I84" s="1">
        <v>-7.0000000000000007E-2</v>
      </c>
      <c r="J84" s="1">
        <v>-0.4</v>
      </c>
    </row>
    <row r="85" spans="2:10" x14ac:dyDescent="0.2">
      <c r="B85" s="2">
        <v>2331.5700000000002</v>
      </c>
      <c r="C85" s="1">
        <v>2311.61</v>
      </c>
      <c r="D85" s="2">
        <v>1.1200000000000001</v>
      </c>
      <c r="E85" s="2">
        <v>124.78</v>
      </c>
      <c r="F85" s="2">
        <v>0.27</v>
      </c>
      <c r="G85" s="1">
        <v>10.17</v>
      </c>
      <c r="H85" s="1">
        <v>190.68</v>
      </c>
      <c r="I85" s="1">
        <v>0.03</v>
      </c>
      <c r="J85" s="1">
        <v>-13.82</v>
      </c>
    </row>
    <row r="86" spans="2:10" x14ac:dyDescent="0.2">
      <c r="B86" s="2">
        <v>2360.35</v>
      </c>
      <c r="C86" s="1">
        <v>2340.39</v>
      </c>
      <c r="D86" s="2">
        <v>1.23</v>
      </c>
      <c r="E86" s="2">
        <v>126.57</v>
      </c>
      <c r="F86" s="2">
        <v>0.12</v>
      </c>
      <c r="G86" s="1">
        <v>9.83</v>
      </c>
      <c r="H86" s="1">
        <v>191.15</v>
      </c>
      <c r="I86" s="1">
        <v>0.11</v>
      </c>
      <c r="J86" s="1">
        <v>1.87</v>
      </c>
    </row>
    <row r="87" spans="2:10" x14ac:dyDescent="0.2">
      <c r="B87" s="2">
        <v>2389.44</v>
      </c>
      <c r="C87" s="1">
        <v>2369.4699999999998</v>
      </c>
      <c r="D87" s="2">
        <v>1.08</v>
      </c>
      <c r="E87" s="2">
        <v>126.42</v>
      </c>
      <c r="F87" s="2">
        <v>0.15</v>
      </c>
      <c r="G87" s="1">
        <v>9.48</v>
      </c>
      <c r="H87" s="1">
        <v>191.63</v>
      </c>
      <c r="I87" s="1">
        <v>-0.15</v>
      </c>
      <c r="J87" s="1">
        <v>-0.15</v>
      </c>
    </row>
    <row r="88" spans="2:10" x14ac:dyDescent="0.2">
      <c r="B88" s="2">
        <v>2418.44</v>
      </c>
      <c r="C88" s="1">
        <v>2398.4699999999998</v>
      </c>
      <c r="D88" s="2">
        <v>1.02</v>
      </c>
      <c r="E88" s="2">
        <v>112.82</v>
      </c>
      <c r="F88" s="2">
        <v>0.26</v>
      </c>
      <c r="G88" s="1">
        <v>9.2200000000000006</v>
      </c>
      <c r="H88" s="1">
        <v>192.08</v>
      </c>
      <c r="I88" s="1">
        <v>-0.06</v>
      </c>
      <c r="J88" s="1">
        <v>-14.07</v>
      </c>
    </row>
    <row r="89" spans="2:10" x14ac:dyDescent="0.2">
      <c r="B89" s="2">
        <v>2447.41</v>
      </c>
      <c r="C89" s="1">
        <v>2427.4299999999998</v>
      </c>
      <c r="D89" s="2">
        <v>0.89</v>
      </c>
      <c r="E89" s="2">
        <v>107.19</v>
      </c>
      <c r="F89" s="2">
        <v>0.17</v>
      </c>
      <c r="G89" s="1">
        <v>9.0500000000000007</v>
      </c>
      <c r="H89" s="1">
        <v>192.54</v>
      </c>
      <c r="I89" s="1">
        <v>-0.13</v>
      </c>
      <c r="J89" s="1">
        <v>-5.83</v>
      </c>
    </row>
    <row r="90" spans="2:10" x14ac:dyDescent="0.2">
      <c r="B90" s="2">
        <v>2474</v>
      </c>
      <c r="C90" s="1">
        <v>2454.02</v>
      </c>
      <c r="D90" s="2">
        <v>0.61599999999999999</v>
      </c>
      <c r="E90" s="2">
        <v>105.691</v>
      </c>
      <c r="F90" s="2">
        <v>0.31</v>
      </c>
      <c r="G90" s="1">
        <v>8.9499999999999993</v>
      </c>
      <c r="H90" s="1">
        <v>192.87</v>
      </c>
      <c r="I90" s="1">
        <v>-0.31</v>
      </c>
      <c r="J90" s="1">
        <v>-1.69</v>
      </c>
    </row>
    <row r="91" spans="2:10" x14ac:dyDescent="0.2">
      <c r="B91" s="2">
        <v>2476.48</v>
      </c>
      <c r="C91" s="1">
        <v>2456.5</v>
      </c>
      <c r="D91" s="2">
        <v>0.59</v>
      </c>
      <c r="E91" s="2">
        <v>105.48</v>
      </c>
      <c r="F91" s="2">
        <v>0.31</v>
      </c>
      <c r="G91" s="1">
        <v>8.94</v>
      </c>
      <c r="H91" s="1">
        <v>192.9</v>
      </c>
      <c r="I91" s="1">
        <v>-0.31</v>
      </c>
      <c r="J91" s="1">
        <v>-2.5499999999999998</v>
      </c>
    </row>
    <row r="92" spans="2:10" x14ac:dyDescent="0.2">
      <c r="B92" s="2">
        <v>2505.44</v>
      </c>
      <c r="C92" s="1">
        <v>2485.4499999999998</v>
      </c>
      <c r="D92" s="2">
        <v>2.73</v>
      </c>
      <c r="E92" s="2">
        <v>1.24</v>
      </c>
      <c r="F92" s="2">
        <v>3.04</v>
      </c>
      <c r="G92" s="1">
        <v>9.59</v>
      </c>
      <c r="H92" s="1">
        <v>193.05</v>
      </c>
      <c r="I92" s="1">
        <v>2.2200000000000002</v>
      </c>
      <c r="J92" s="1">
        <v>-107.98</v>
      </c>
    </row>
    <row r="93" spans="2:10" x14ac:dyDescent="0.2">
      <c r="B93" s="2">
        <v>2534.2800000000002</v>
      </c>
      <c r="C93" s="1">
        <v>2514.13</v>
      </c>
      <c r="D93" s="2">
        <v>8.89</v>
      </c>
      <c r="E93" s="2">
        <v>356.48</v>
      </c>
      <c r="F93" s="2">
        <v>6.42</v>
      </c>
      <c r="G93" s="1">
        <v>12.51</v>
      </c>
      <c r="H93" s="1">
        <v>192.93</v>
      </c>
      <c r="I93" s="1">
        <v>6.41</v>
      </c>
      <c r="J93" s="1">
        <v>-4.95</v>
      </c>
    </row>
    <row r="94" spans="2:10" x14ac:dyDescent="0.2">
      <c r="B94" s="2">
        <v>2563.2199999999998</v>
      </c>
      <c r="C94" s="1">
        <v>2542.5500000000002</v>
      </c>
      <c r="D94" s="2">
        <v>12.79</v>
      </c>
      <c r="E94" s="2">
        <v>359.32</v>
      </c>
      <c r="F94" s="2">
        <v>4.08</v>
      </c>
      <c r="G94" s="1">
        <v>17.940000000000001</v>
      </c>
      <c r="H94" s="1">
        <v>192.76</v>
      </c>
      <c r="I94" s="1">
        <v>4.04</v>
      </c>
      <c r="J94" s="1">
        <v>2.94</v>
      </c>
    </row>
    <row r="95" spans="2:10" x14ac:dyDescent="0.2">
      <c r="B95" s="2">
        <v>2592.0500000000002</v>
      </c>
      <c r="C95" s="1">
        <v>2570.48</v>
      </c>
      <c r="D95" s="2">
        <v>15.8</v>
      </c>
      <c r="E95" s="2">
        <v>7.29</v>
      </c>
      <c r="F95" s="2">
        <v>3.74</v>
      </c>
      <c r="G95" s="1">
        <v>25.03</v>
      </c>
      <c r="H95" s="1">
        <v>193.22</v>
      </c>
      <c r="I95" s="1">
        <v>3.13</v>
      </c>
      <c r="J95" s="1">
        <v>8.2899999999999991</v>
      </c>
    </row>
    <row r="96" spans="2:10" x14ac:dyDescent="0.2">
      <c r="B96" s="2">
        <v>2620.88</v>
      </c>
      <c r="C96" s="1">
        <v>2597.86</v>
      </c>
      <c r="D96" s="2">
        <v>20.66</v>
      </c>
      <c r="E96" s="2">
        <v>6.07</v>
      </c>
      <c r="F96" s="2">
        <v>5.07</v>
      </c>
      <c r="G96" s="1">
        <v>33.99</v>
      </c>
      <c r="H96" s="1">
        <v>194.25</v>
      </c>
      <c r="I96" s="1">
        <v>5.0599999999999996</v>
      </c>
      <c r="J96" s="1">
        <v>-1.27</v>
      </c>
    </row>
    <row r="97" spans="2:10" x14ac:dyDescent="0.2">
      <c r="B97" s="2">
        <v>2649.93</v>
      </c>
      <c r="C97" s="1">
        <v>2624.35</v>
      </c>
      <c r="D97" s="2">
        <v>27.6</v>
      </c>
      <c r="E97" s="2">
        <v>5.61</v>
      </c>
      <c r="F97" s="2">
        <v>7.17</v>
      </c>
      <c r="G97" s="1">
        <v>45.79</v>
      </c>
      <c r="H97" s="1">
        <v>195.46</v>
      </c>
      <c r="I97" s="1">
        <v>7.17</v>
      </c>
      <c r="J97" s="1">
        <v>-0.48</v>
      </c>
    </row>
    <row r="98" spans="2:10" x14ac:dyDescent="0.2">
      <c r="B98" s="2">
        <v>2678.54</v>
      </c>
      <c r="C98" s="1">
        <v>2649.12</v>
      </c>
      <c r="D98" s="2">
        <v>32.43</v>
      </c>
      <c r="E98" s="2">
        <v>1.56</v>
      </c>
      <c r="F98" s="2">
        <v>5.49</v>
      </c>
      <c r="G98" s="1">
        <v>60.07</v>
      </c>
      <c r="H98" s="1">
        <v>196.31</v>
      </c>
      <c r="I98" s="1">
        <v>5.0599999999999996</v>
      </c>
      <c r="J98" s="1">
        <v>-4.25</v>
      </c>
    </row>
    <row r="99" spans="2:10" x14ac:dyDescent="0.2">
      <c r="B99" s="2">
        <v>2707.43</v>
      </c>
      <c r="C99" s="1">
        <v>2672.72</v>
      </c>
      <c r="D99" s="2">
        <v>37.99</v>
      </c>
      <c r="E99" s="2">
        <v>0.42</v>
      </c>
      <c r="F99" s="2">
        <v>5.81</v>
      </c>
      <c r="G99" s="1">
        <v>76.72</v>
      </c>
      <c r="H99" s="1">
        <v>196.59</v>
      </c>
      <c r="I99" s="1">
        <v>5.77</v>
      </c>
      <c r="J99" s="1">
        <v>-1.18</v>
      </c>
    </row>
    <row r="100" spans="2:10" x14ac:dyDescent="0.2">
      <c r="B100" s="2">
        <v>2736.05</v>
      </c>
      <c r="C100" s="1">
        <v>2694.06</v>
      </c>
      <c r="D100" s="2">
        <v>45.51</v>
      </c>
      <c r="E100" s="2">
        <v>358.92</v>
      </c>
      <c r="F100" s="2">
        <v>7.95</v>
      </c>
      <c r="G100" s="1">
        <v>95.76</v>
      </c>
      <c r="H100" s="1">
        <v>196.46</v>
      </c>
      <c r="I100" s="1">
        <v>7.88</v>
      </c>
      <c r="J100" s="1">
        <v>-1.57</v>
      </c>
    </row>
    <row r="101" spans="2:10" x14ac:dyDescent="0.2">
      <c r="B101" s="2">
        <v>2764.93</v>
      </c>
      <c r="C101" s="1">
        <v>2713.06</v>
      </c>
      <c r="D101" s="2">
        <v>52.11</v>
      </c>
      <c r="E101" s="2">
        <v>358.29</v>
      </c>
      <c r="F101" s="2">
        <v>6.87</v>
      </c>
      <c r="G101" s="1">
        <v>117.47</v>
      </c>
      <c r="H101" s="1">
        <v>195.93</v>
      </c>
      <c r="I101" s="1">
        <v>6.86</v>
      </c>
      <c r="J101" s="1">
        <v>-0.65</v>
      </c>
    </row>
    <row r="102" spans="2:10" x14ac:dyDescent="0.2">
      <c r="B102" s="2">
        <v>2793.86</v>
      </c>
      <c r="C102" s="1">
        <v>2729.69</v>
      </c>
      <c r="D102" s="2">
        <v>57.7</v>
      </c>
      <c r="E102" s="2">
        <v>356.49</v>
      </c>
      <c r="F102" s="2">
        <v>5.99</v>
      </c>
      <c r="G102" s="1">
        <v>141.11000000000001</v>
      </c>
      <c r="H102" s="1">
        <v>194.84</v>
      </c>
      <c r="I102" s="1">
        <v>5.8</v>
      </c>
      <c r="J102" s="1">
        <v>-1.87</v>
      </c>
    </row>
    <row r="103" spans="2:10" x14ac:dyDescent="0.2">
      <c r="B103" s="2">
        <v>2822.8</v>
      </c>
      <c r="C103" s="1">
        <v>2743.73</v>
      </c>
      <c r="D103" s="2">
        <v>64.23</v>
      </c>
      <c r="E103" s="2">
        <v>356.09</v>
      </c>
      <c r="F103" s="2">
        <v>6.78</v>
      </c>
      <c r="G103" s="1">
        <v>166.34</v>
      </c>
      <c r="H103" s="1">
        <v>193.2</v>
      </c>
      <c r="I103" s="1">
        <v>6.77</v>
      </c>
      <c r="J103" s="1">
        <v>-0.41</v>
      </c>
    </row>
    <row r="104" spans="2:10" x14ac:dyDescent="0.2">
      <c r="B104" s="2">
        <v>2851.69</v>
      </c>
      <c r="C104" s="1">
        <v>2755.11</v>
      </c>
      <c r="D104" s="2">
        <v>69.36</v>
      </c>
      <c r="E104" s="2">
        <v>357.05</v>
      </c>
      <c r="F104" s="2">
        <v>5.41</v>
      </c>
      <c r="G104" s="1">
        <v>192.84</v>
      </c>
      <c r="H104" s="1">
        <v>191.61</v>
      </c>
      <c r="I104" s="1">
        <v>5.33</v>
      </c>
      <c r="J104" s="1">
        <v>1</v>
      </c>
    </row>
    <row r="105" spans="2:10" x14ac:dyDescent="0.2">
      <c r="B105" s="2">
        <v>2880.74</v>
      </c>
      <c r="C105" s="1">
        <v>2764.02</v>
      </c>
      <c r="D105" s="2">
        <v>74.900000000000006</v>
      </c>
      <c r="E105" s="2">
        <v>357.43</v>
      </c>
      <c r="F105" s="2">
        <v>5.73</v>
      </c>
      <c r="G105" s="1">
        <v>220.44</v>
      </c>
      <c r="H105" s="1">
        <v>190.28</v>
      </c>
      <c r="I105" s="1">
        <v>5.72</v>
      </c>
      <c r="J105" s="1">
        <v>0.39</v>
      </c>
    </row>
    <row r="106" spans="2:10" x14ac:dyDescent="0.2">
      <c r="B106" s="2">
        <v>2909.88</v>
      </c>
      <c r="C106" s="1">
        <v>2770.16</v>
      </c>
      <c r="D106" s="2">
        <v>80.75</v>
      </c>
      <c r="E106" s="2">
        <v>357.92</v>
      </c>
      <c r="F106" s="2">
        <v>6.04</v>
      </c>
      <c r="G106" s="1">
        <v>248.89</v>
      </c>
      <c r="H106" s="1">
        <v>189.13</v>
      </c>
      <c r="I106" s="1">
        <v>6.02</v>
      </c>
      <c r="J106" s="1">
        <v>0.5</v>
      </c>
    </row>
    <row r="107" spans="2:10" x14ac:dyDescent="0.2">
      <c r="B107" s="2">
        <v>2939.01</v>
      </c>
      <c r="C107" s="1">
        <v>2772.92</v>
      </c>
      <c r="D107" s="2">
        <v>88.37</v>
      </c>
      <c r="E107" s="2">
        <v>357.54</v>
      </c>
      <c r="F107" s="2">
        <v>7.86</v>
      </c>
      <c r="G107" s="1">
        <v>277.85000000000002</v>
      </c>
      <c r="H107" s="1">
        <v>187.98</v>
      </c>
      <c r="I107" s="1">
        <v>7.85</v>
      </c>
      <c r="J107" s="1">
        <v>-0.39</v>
      </c>
    </row>
    <row r="108" spans="2:10" x14ac:dyDescent="0.2">
      <c r="B108" s="2">
        <v>2968.16</v>
      </c>
      <c r="C108" s="1">
        <v>2773.42</v>
      </c>
      <c r="D108" s="2">
        <v>89.69</v>
      </c>
      <c r="E108" s="2">
        <v>0.39</v>
      </c>
      <c r="F108" s="2">
        <v>3.23</v>
      </c>
      <c r="G108" s="1">
        <v>306.99</v>
      </c>
      <c r="H108" s="1">
        <v>187.46</v>
      </c>
      <c r="I108" s="1">
        <v>1.36</v>
      </c>
      <c r="J108" s="1">
        <v>2.93</v>
      </c>
    </row>
    <row r="109" spans="2:10" x14ac:dyDescent="0.2">
      <c r="B109" s="2">
        <v>2997.28</v>
      </c>
      <c r="C109" s="1">
        <v>2773.63</v>
      </c>
      <c r="D109" s="2">
        <v>89.45</v>
      </c>
      <c r="E109" s="2">
        <v>0.24</v>
      </c>
      <c r="F109" s="2">
        <v>0.28999999999999998</v>
      </c>
      <c r="G109" s="1">
        <v>336.1</v>
      </c>
      <c r="H109" s="1">
        <v>187.62</v>
      </c>
      <c r="I109" s="1">
        <v>-0.25</v>
      </c>
      <c r="J109" s="1">
        <v>-0.15</v>
      </c>
    </row>
    <row r="110" spans="2:10" x14ac:dyDescent="0.2">
      <c r="B110" s="2">
        <v>3026.48</v>
      </c>
      <c r="C110" s="1">
        <v>2773.74</v>
      </c>
      <c r="D110" s="2">
        <v>90.15</v>
      </c>
      <c r="E110" s="2">
        <v>0.59</v>
      </c>
      <c r="F110" s="2">
        <v>0.8</v>
      </c>
      <c r="G110" s="1">
        <v>365.3</v>
      </c>
      <c r="H110" s="1">
        <v>187.83</v>
      </c>
      <c r="I110" s="1">
        <v>0.72</v>
      </c>
      <c r="J110" s="1">
        <v>0.36</v>
      </c>
    </row>
    <row r="111" spans="2:10" x14ac:dyDescent="0.2">
      <c r="B111" s="2">
        <v>3055.7</v>
      </c>
      <c r="C111" s="1">
        <v>2773.78</v>
      </c>
      <c r="D111" s="2">
        <v>89.69</v>
      </c>
      <c r="E111" s="2">
        <v>359.63</v>
      </c>
      <c r="F111" s="2">
        <v>1.0900000000000001</v>
      </c>
      <c r="G111" s="1">
        <v>394.52</v>
      </c>
      <c r="H111" s="1">
        <v>187.88</v>
      </c>
      <c r="I111" s="1">
        <v>-0.47</v>
      </c>
      <c r="J111" s="1">
        <v>-0.99</v>
      </c>
    </row>
    <row r="112" spans="2:10" x14ac:dyDescent="0.2">
      <c r="B112" s="2">
        <v>3084.97</v>
      </c>
      <c r="C112" s="1">
        <v>2773.95</v>
      </c>
      <c r="D112" s="2">
        <v>89.63</v>
      </c>
      <c r="E112" s="2">
        <v>358.44</v>
      </c>
      <c r="F112" s="2">
        <v>1.22</v>
      </c>
      <c r="G112" s="1">
        <v>423.79</v>
      </c>
      <c r="H112" s="1">
        <v>187.39</v>
      </c>
      <c r="I112" s="1">
        <v>-0.06</v>
      </c>
      <c r="J112" s="1">
        <v>-1.22</v>
      </c>
    </row>
    <row r="113" spans="2:10" x14ac:dyDescent="0.2">
      <c r="B113" s="2">
        <v>3107.03</v>
      </c>
      <c r="C113" s="1">
        <v>2774.16</v>
      </c>
      <c r="D113" s="2">
        <v>89.26</v>
      </c>
      <c r="E113" s="2">
        <v>357.82</v>
      </c>
      <c r="F113" s="2">
        <v>0.98</v>
      </c>
      <c r="G113" s="1">
        <v>445.83</v>
      </c>
      <c r="H113" s="1">
        <v>186.67</v>
      </c>
      <c r="I113" s="1">
        <v>-0.5</v>
      </c>
      <c r="J113" s="1">
        <v>-0.84</v>
      </c>
    </row>
    <row r="114" spans="2:10" x14ac:dyDescent="0.2">
      <c r="B114" s="2">
        <v>3126.76</v>
      </c>
      <c r="C114" s="1">
        <v>2774.59</v>
      </c>
      <c r="D114" s="2">
        <v>88.28</v>
      </c>
      <c r="E114" s="2">
        <v>356.75</v>
      </c>
      <c r="F114" s="2">
        <v>2.21</v>
      </c>
      <c r="G114" s="1">
        <v>465.54</v>
      </c>
      <c r="H114" s="1">
        <v>185.74</v>
      </c>
      <c r="I114" s="1">
        <v>-1.49</v>
      </c>
      <c r="J114" s="1">
        <v>-1.63</v>
      </c>
    </row>
    <row r="115" spans="2:10" x14ac:dyDescent="0.2">
      <c r="B115" s="2">
        <v>3154.93</v>
      </c>
      <c r="C115" s="1">
        <v>2775.23</v>
      </c>
      <c r="D115" s="2">
        <v>89.11</v>
      </c>
      <c r="E115" s="2">
        <v>357.57</v>
      </c>
      <c r="F115" s="2">
        <v>1.24</v>
      </c>
      <c r="G115" s="1">
        <v>493.67</v>
      </c>
      <c r="H115" s="1">
        <v>184.34</v>
      </c>
      <c r="I115" s="1">
        <v>0.88</v>
      </c>
      <c r="J115" s="1">
        <v>0.87</v>
      </c>
    </row>
    <row r="116" spans="2:10" x14ac:dyDescent="0.2">
      <c r="B116" s="2">
        <v>3184.21</v>
      </c>
      <c r="C116" s="1">
        <v>2775.57</v>
      </c>
      <c r="D116" s="2">
        <v>89.57</v>
      </c>
      <c r="E116" s="2">
        <v>357.2</v>
      </c>
      <c r="F116" s="2">
        <v>0.6</v>
      </c>
      <c r="G116" s="1">
        <v>522.91</v>
      </c>
      <c r="H116" s="1">
        <v>183</v>
      </c>
      <c r="I116" s="1">
        <v>0.47</v>
      </c>
      <c r="J116" s="1">
        <v>-0.38</v>
      </c>
    </row>
    <row r="117" spans="2:10" x14ac:dyDescent="0.2">
      <c r="B117" s="2">
        <v>3213.31</v>
      </c>
      <c r="C117" s="1">
        <v>2775.78</v>
      </c>
      <c r="D117" s="2">
        <v>89.6</v>
      </c>
      <c r="E117" s="2">
        <v>357.12</v>
      </c>
      <c r="F117" s="2">
        <v>0.09</v>
      </c>
      <c r="G117" s="1">
        <v>551.98</v>
      </c>
      <c r="H117" s="1">
        <v>181.56</v>
      </c>
      <c r="I117" s="1">
        <v>0.03</v>
      </c>
      <c r="J117" s="1">
        <v>-0.08</v>
      </c>
    </row>
    <row r="118" spans="2:10" x14ac:dyDescent="0.2">
      <c r="B118" s="2">
        <v>3242.25</v>
      </c>
      <c r="C118" s="1">
        <v>2776.1</v>
      </c>
      <c r="D118" s="2">
        <v>89.11</v>
      </c>
      <c r="E118" s="2">
        <v>357.35</v>
      </c>
      <c r="F118" s="2">
        <v>0.56000000000000005</v>
      </c>
      <c r="G118" s="1">
        <v>580.88</v>
      </c>
      <c r="H118" s="1">
        <v>180.17</v>
      </c>
      <c r="I118" s="1">
        <v>-0.51</v>
      </c>
      <c r="J118" s="1">
        <v>0.24</v>
      </c>
    </row>
    <row r="119" spans="2:10" x14ac:dyDescent="0.2">
      <c r="B119" s="2">
        <v>3271.08</v>
      </c>
      <c r="C119" s="1">
        <v>2776.57</v>
      </c>
      <c r="D119" s="2">
        <v>89.05</v>
      </c>
      <c r="E119" s="2">
        <v>357.01</v>
      </c>
      <c r="F119" s="2">
        <v>0.36</v>
      </c>
      <c r="G119" s="1">
        <v>609.66999999999996</v>
      </c>
      <c r="H119" s="1">
        <v>178.75</v>
      </c>
      <c r="I119" s="1">
        <v>-0.06</v>
      </c>
      <c r="J119" s="1">
        <v>-0.35</v>
      </c>
    </row>
    <row r="120" spans="2:10" x14ac:dyDescent="0.2">
      <c r="B120" s="2">
        <v>3300.2</v>
      </c>
      <c r="C120" s="1">
        <v>2777.1</v>
      </c>
      <c r="D120" s="2">
        <v>88.86</v>
      </c>
      <c r="E120" s="2">
        <v>356.04</v>
      </c>
      <c r="F120" s="2">
        <v>1.02</v>
      </c>
      <c r="G120" s="1">
        <v>638.73</v>
      </c>
      <c r="H120" s="1">
        <v>176.98</v>
      </c>
      <c r="I120" s="1">
        <v>-0.2</v>
      </c>
      <c r="J120" s="1">
        <v>-1</v>
      </c>
    </row>
    <row r="121" spans="2:10" x14ac:dyDescent="0.2">
      <c r="B121" s="2">
        <v>3329.22</v>
      </c>
      <c r="C121" s="1">
        <v>2777.51</v>
      </c>
      <c r="D121" s="2">
        <v>89.51</v>
      </c>
      <c r="E121" s="2">
        <v>359.93</v>
      </c>
      <c r="F121" s="2">
        <v>4.08</v>
      </c>
      <c r="G121" s="1">
        <v>667.73</v>
      </c>
      <c r="H121" s="1">
        <v>175.96</v>
      </c>
      <c r="I121" s="1">
        <v>0.67</v>
      </c>
      <c r="J121" s="1">
        <v>4.0199999999999996</v>
      </c>
    </row>
    <row r="122" spans="2:10" x14ac:dyDescent="0.2">
      <c r="B122" s="2">
        <v>3358.12</v>
      </c>
      <c r="C122" s="1">
        <v>2777.84</v>
      </c>
      <c r="D122" s="2">
        <v>89.2</v>
      </c>
      <c r="E122" s="2">
        <v>0.48</v>
      </c>
      <c r="F122" s="2">
        <v>0.66</v>
      </c>
      <c r="G122" s="1">
        <v>696.62</v>
      </c>
      <c r="H122" s="1">
        <v>176.07</v>
      </c>
      <c r="I122" s="1">
        <v>-0.32</v>
      </c>
      <c r="J122" s="1">
        <v>0.56999999999999995</v>
      </c>
    </row>
    <row r="123" spans="2:10" x14ac:dyDescent="0.2">
      <c r="B123" s="2">
        <v>3387.09</v>
      </c>
      <c r="C123" s="1">
        <v>2778.36</v>
      </c>
      <c r="D123" s="2">
        <v>88.71</v>
      </c>
      <c r="E123" s="2">
        <v>1.57</v>
      </c>
      <c r="F123" s="2">
        <v>1.24</v>
      </c>
      <c r="G123" s="1">
        <v>725.58</v>
      </c>
      <c r="H123" s="1">
        <v>176.59</v>
      </c>
      <c r="I123" s="1">
        <v>-0.51</v>
      </c>
      <c r="J123" s="1">
        <v>1.1299999999999999</v>
      </c>
    </row>
    <row r="124" spans="2:10" x14ac:dyDescent="0.2">
      <c r="B124" s="2">
        <v>3416.2</v>
      </c>
      <c r="C124" s="1">
        <v>2778.62</v>
      </c>
      <c r="D124" s="2">
        <v>90.28</v>
      </c>
      <c r="E124" s="2">
        <v>3.95</v>
      </c>
      <c r="F124" s="2">
        <v>2.94</v>
      </c>
      <c r="G124" s="1">
        <v>754.66</v>
      </c>
      <c r="H124" s="1">
        <v>177.99</v>
      </c>
      <c r="I124" s="1">
        <v>1.62</v>
      </c>
      <c r="J124" s="1">
        <v>2.4500000000000002</v>
      </c>
    </row>
    <row r="125" spans="2:10" x14ac:dyDescent="0.2">
      <c r="B125" s="2">
        <v>3444.81</v>
      </c>
      <c r="C125" s="1">
        <v>2778.47</v>
      </c>
      <c r="D125" s="2">
        <v>90.31</v>
      </c>
      <c r="E125" s="2">
        <v>2.35</v>
      </c>
      <c r="F125" s="2">
        <v>1.68</v>
      </c>
      <c r="G125" s="1">
        <v>783.22</v>
      </c>
      <c r="H125" s="1">
        <v>179.56</v>
      </c>
      <c r="I125" s="1">
        <v>0.03</v>
      </c>
      <c r="J125" s="1">
        <v>-1.68</v>
      </c>
    </row>
    <row r="126" spans="2:10" x14ac:dyDescent="0.2">
      <c r="B126" s="2">
        <v>3474.08</v>
      </c>
      <c r="C126" s="1">
        <v>2778.31</v>
      </c>
      <c r="D126" s="2">
        <v>90.34</v>
      </c>
      <c r="E126" s="2">
        <v>358.23</v>
      </c>
      <c r="F126" s="2">
        <v>4.22</v>
      </c>
      <c r="G126" s="1">
        <v>812.48</v>
      </c>
      <c r="H126" s="1">
        <v>179.71</v>
      </c>
      <c r="I126" s="1">
        <v>0.03</v>
      </c>
      <c r="J126" s="1">
        <v>-4.22</v>
      </c>
    </row>
    <row r="127" spans="2:10" x14ac:dyDescent="0.2">
      <c r="B127" s="2">
        <v>3503.02</v>
      </c>
      <c r="C127" s="1">
        <v>2778.17</v>
      </c>
      <c r="D127" s="2">
        <v>90.22</v>
      </c>
      <c r="E127" s="2">
        <v>357.75</v>
      </c>
      <c r="F127" s="2">
        <v>0.51</v>
      </c>
      <c r="G127" s="1">
        <v>841.41</v>
      </c>
      <c r="H127" s="1">
        <v>178.69</v>
      </c>
      <c r="I127" s="1">
        <v>-0.12</v>
      </c>
      <c r="J127" s="1">
        <v>-0.5</v>
      </c>
    </row>
    <row r="128" spans="2:10" x14ac:dyDescent="0.2">
      <c r="B128" s="2">
        <v>3532.14</v>
      </c>
      <c r="C128" s="1">
        <v>2778.33</v>
      </c>
      <c r="D128" s="2">
        <v>89.14</v>
      </c>
      <c r="E128" s="2">
        <v>357.25</v>
      </c>
      <c r="F128" s="2">
        <v>1.23</v>
      </c>
      <c r="G128" s="1">
        <v>870.5</v>
      </c>
      <c r="H128" s="1">
        <v>177.42</v>
      </c>
      <c r="I128" s="1">
        <v>-1.1100000000000001</v>
      </c>
      <c r="J128" s="1">
        <v>-0.52</v>
      </c>
    </row>
    <row r="129" spans="2:10" x14ac:dyDescent="0.2">
      <c r="B129" s="2">
        <v>3561.06</v>
      </c>
      <c r="C129" s="1">
        <v>2778.72</v>
      </c>
      <c r="D129" s="2">
        <v>89.32</v>
      </c>
      <c r="E129" s="2">
        <v>1.83</v>
      </c>
      <c r="F129" s="2">
        <v>4.75</v>
      </c>
      <c r="G129" s="1">
        <v>899.41</v>
      </c>
      <c r="H129" s="1">
        <v>177.19</v>
      </c>
      <c r="I129" s="1">
        <v>0.19</v>
      </c>
      <c r="J129" s="1">
        <v>4.75</v>
      </c>
    </row>
    <row r="130" spans="2:10" x14ac:dyDescent="0.2">
      <c r="B130" s="2">
        <v>3590.09</v>
      </c>
      <c r="C130" s="1">
        <v>2778.91</v>
      </c>
      <c r="D130" s="2">
        <v>89.91</v>
      </c>
      <c r="E130" s="2">
        <v>9.5500000000000007</v>
      </c>
      <c r="F130" s="2">
        <v>8</v>
      </c>
      <c r="G130" s="1">
        <v>928.27</v>
      </c>
      <c r="H130" s="1">
        <v>180.07</v>
      </c>
      <c r="I130" s="1">
        <v>0.61</v>
      </c>
      <c r="J130" s="1">
        <v>7.98</v>
      </c>
    </row>
    <row r="131" spans="2:10" x14ac:dyDescent="0.2">
      <c r="B131" s="2">
        <v>3619.2</v>
      </c>
      <c r="C131" s="1">
        <v>2779.15</v>
      </c>
      <c r="D131" s="2">
        <v>89.17</v>
      </c>
      <c r="E131" s="2">
        <v>8.18</v>
      </c>
      <c r="F131" s="2">
        <v>1.6</v>
      </c>
      <c r="G131" s="1">
        <v>957.03</v>
      </c>
      <c r="H131" s="1">
        <v>184.55</v>
      </c>
      <c r="I131" s="1">
        <v>-0.76</v>
      </c>
      <c r="J131" s="1">
        <v>-1.41</v>
      </c>
    </row>
    <row r="132" spans="2:10" x14ac:dyDescent="0.2">
      <c r="B132" s="2">
        <v>3648.08</v>
      </c>
      <c r="C132" s="1">
        <v>2779.53</v>
      </c>
      <c r="D132" s="2">
        <v>89.32</v>
      </c>
      <c r="E132" s="2">
        <v>1.18</v>
      </c>
      <c r="F132" s="2">
        <v>7.27</v>
      </c>
      <c r="G132" s="1">
        <v>985.79</v>
      </c>
      <c r="H132" s="1">
        <v>186.91</v>
      </c>
      <c r="I132" s="1">
        <v>0.16</v>
      </c>
      <c r="J132" s="1">
        <v>-7.27</v>
      </c>
    </row>
    <row r="133" spans="2:10" x14ac:dyDescent="0.2">
      <c r="B133" s="2">
        <v>3677.05</v>
      </c>
      <c r="C133" s="1">
        <v>2779.92</v>
      </c>
      <c r="D133" s="2">
        <v>89.14</v>
      </c>
      <c r="E133" s="2">
        <v>1.64</v>
      </c>
      <c r="F133" s="2">
        <v>0.51</v>
      </c>
      <c r="G133" s="1">
        <v>1014.75</v>
      </c>
      <c r="H133" s="1">
        <v>187.62</v>
      </c>
      <c r="I133" s="1">
        <v>-0.19</v>
      </c>
      <c r="J133" s="1">
        <v>0.48</v>
      </c>
    </row>
    <row r="134" spans="2:10" x14ac:dyDescent="0.2">
      <c r="B134" s="2">
        <v>3706.03</v>
      </c>
      <c r="C134" s="1">
        <v>2780.31</v>
      </c>
      <c r="D134" s="2">
        <v>89.29</v>
      </c>
      <c r="E134" s="2">
        <v>2.74</v>
      </c>
      <c r="F134" s="2">
        <v>1.1499999999999999</v>
      </c>
      <c r="G134" s="1">
        <v>1043.71</v>
      </c>
      <c r="H134" s="1">
        <v>188.73</v>
      </c>
      <c r="I134" s="1">
        <v>0.16</v>
      </c>
      <c r="J134" s="1">
        <v>1.1399999999999999</v>
      </c>
    </row>
    <row r="135" spans="2:10" x14ac:dyDescent="0.2">
      <c r="B135" s="2">
        <v>3728.95</v>
      </c>
      <c r="C135" s="1">
        <v>2780.6</v>
      </c>
      <c r="D135" s="2">
        <v>89.29</v>
      </c>
      <c r="E135" s="2">
        <v>0.56999999999999995</v>
      </c>
      <c r="F135" s="2">
        <v>2.84</v>
      </c>
      <c r="G135" s="1">
        <v>1066.6199999999999</v>
      </c>
      <c r="H135" s="1">
        <v>189.39</v>
      </c>
      <c r="I135" s="1">
        <v>0</v>
      </c>
      <c r="J135" s="1">
        <v>-2.84</v>
      </c>
    </row>
    <row r="136" spans="2:10" x14ac:dyDescent="0.2">
      <c r="B136" s="2">
        <v>3758.4</v>
      </c>
      <c r="C136" s="1">
        <v>2780.98</v>
      </c>
      <c r="D136" s="2">
        <v>89.23</v>
      </c>
      <c r="E136" s="2">
        <v>0.69</v>
      </c>
      <c r="F136" s="2">
        <v>0.14000000000000001</v>
      </c>
      <c r="G136" s="1">
        <v>1096.06</v>
      </c>
      <c r="H136" s="1">
        <v>189.71</v>
      </c>
      <c r="I136" s="1">
        <v>-0.06</v>
      </c>
      <c r="J136" s="1">
        <v>0.12</v>
      </c>
    </row>
    <row r="137" spans="2:10" x14ac:dyDescent="0.2">
      <c r="B137" s="2">
        <v>3787.61</v>
      </c>
      <c r="C137" s="1">
        <v>2781.33</v>
      </c>
      <c r="D137" s="2">
        <v>89.41</v>
      </c>
      <c r="E137" s="2">
        <v>0.64</v>
      </c>
      <c r="F137" s="2">
        <v>0.19</v>
      </c>
      <c r="G137" s="1">
        <v>1125.27</v>
      </c>
      <c r="H137" s="1">
        <v>190.05</v>
      </c>
      <c r="I137" s="1">
        <v>0.18</v>
      </c>
      <c r="J137" s="1">
        <v>-0.05</v>
      </c>
    </row>
    <row r="138" spans="2:10" x14ac:dyDescent="0.2">
      <c r="B138" s="2">
        <v>3816.51</v>
      </c>
      <c r="C138" s="1">
        <v>2781.68</v>
      </c>
      <c r="D138" s="2">
        <v>89.2</v>
      </c>
      <c r="E138" s="2">
        <v>0.62</v>
      </c>
      <c r="F138" s="2">
        <v>0.22</v>
      </c>
      <c r="G138" s="1">
        <v>1154.1600000000001</v>
      </c>
      <c r="H138" s="1">
        <v>190.37</v>
      </c>
      <c r="I138" s="1">
        <v>-0.22</v>
      </c>
      <c r="J138" s="1">
        <v>-0.02</v>
      </c>
    </row>
    <row r="139" spans="2:10" x14ac:dyDescent="0.2">
      <c r="B139" s="2">
        <v>3845.51</v>
      </c>
      <c r="C139" s="1">
        <v>2782</v>
      </c>
      <c r="D139" s="2">
        <v>89.51</v>
      </c>
      <c r="E139" s="2">
        <v>0.85</v>
      </c>
      <c r="F139" s="2">
        <v>0.4</v>
      </c>
      <c r="G139" s="1">
        <v>1183.1600000000001</v>
      </c>
      <c r="H139" s="1">
        <v>190.74</v>
      </c>
      <c r="I139" s="1">
        <v>0.32</v>
      </c>
      <c r="J139" s="1">
        <v>0.24</v>
      </c>
    </row>
    <row r="140" spans="2:10" x14ac:dyDescent="0.2">
      <c r="B140" s="2">
        <v>3874.44</v>
      </c>
      <c r="C140" s="1">
        <v>2782.29</v>
      </c>
      <c r="D140" s="2">
        <v>89.35</v>
      </c>
      <c r="E140" s="2">
        <v>1.25</v>
      </c>
      <c r="F140" s="2">
        <v>0.45</v>
      </c>
      <c r="G140" s="1">
        <v>1212.08</v>
      </c>
      <c r="H140" s="1">
        <v>191.27</v>
      </c>
      <c r="I140" s="1">
        <v>-0.17</v>
      </c>
      <c r="J140" s="1">
        <v>0.41</v>
      </c>
    </row>
    <row r="141" spans="2:10" x14ac:dyDescent="0.2">
      <c r="B141" s="2">
        <v>3903.64</v>
      </c>
      <c r="C141" s="1">
        <v>2782.63</v>
      </c>
      <c r="D141" s="2">
        <v>89.32</v>
      </c>
      <c r="E141" s="2">
        <v>3.6</v>
      </c>
      <c r="F141" s="2">
        <v>2.41</v>
      </c>
      <c r="G141" s="1">
        <v>1241.25</v>
      </c>
      <c r="H141" s="1">
        <v>192.51</v>
      </c>
      <c r="I141" s="1">
        <v>-0.03</v>
      </c>
      <c r="J141" s="1">
        <v>2.41</v>
      </c>
    </row>
    <row r="142" spans="2:10" x14ac:dyDescent="0.2">
      <c r="B142" s="2">
        <v>3932.38</v>
      </c>
      <c r="C142" s="1">
        <v>2783.05</v>
      </c>
      <c r="D142" s="2">
        <v>89.02</v>
      </c>
      <c r="E142" s="2">
        <v>357.2</v>
      </c>
      <c r="F142" s="2">
        <v>6.69</v>
      </c>
      <c r="G142" s="1">
        <v>1269.97</v>
      </c>
      <c r="H142" s="1">
        <v>192.71</v>
      </c>
      <c r="I142" s="1">
        <v>-0.31</v>
      </c>
      <c r="J142" s="1">
        <v>-6.68</v>
      </c>
    </row>
    <row r="143" spans="2:10" x14ac:dyDescent="0.2">
      <c r="B143" s="2">
        <v>3961.19</v>
      </c>
      <c r="C143" s="1">
        <v>2783.49</v>
      </c>
      <c r="D143" s="2">
        <v>89.2</v>
      </c>
      <c r="E143" s="2">
        <v>1.33</v>
      </c>
      <c r="F143" s="2">
        <v>4.3</v>
      </c>
      <c r="G143" s="1">
        <v>1298.77</v>
      </c>
      <c r="H143" s="1">
        <v>192.34</v>
      </c>
      <c r="I143" s="1">
        <v>0.19</v>
      </c>
      <c r="J143" s="1">
        <v>4.3</v>
      </c>
    </row>
    <row r="144" spans="2:10" x14ac:dyDescent="0.2">
      <c r="B144" s="2">
        <v>3990.21</v>
      </c>
      <c r="C144" s="1">
        <v>2783.89</v>
      </c>
      <c r="D144" s="2">
        <v>89.23</v>
      </c>
      <c r="E144" s="2">
        <v>358.47</v>
      </c>
      <c r="F144" s="2">
        <v>2.96</v>
      </c>
      <c r="G144" s="1">
        <v>1327.79</v>
      </c>
      <c r="H144" s="1">
        <v>192.29</v>
      </c>
      <c r="I144" s="1">
        <v>0.03</v>
      </c>
      <c r="J144" s="1">
        <v>-2.96</v>
      </c>
    </row>
    <row r="145" spans="2:10" x14ac:dyDescent="0.2">
      <c r="B145" s="2">
        <v>4019.24</v>
      </c>
      <c r="C145" s="1">
        <v>2784.32</v>
      </c>
      <c r="D145" s="2">
        <v>89.08</v>
      </c>
      <c r="E145" s="2">
        <v>358.92</v>
      </c>
      <c r="F145" s="2">
        <v>0.49</v>
      </c>
      <c r="G145" s="1">
        <v>1356.81</v>
      </c>
      <c r="H145" s="1">
        <v>191.63</v>
      </c>
      <c r="I145" s="1">
        <v>-0.16</v>
      </c>
      <c r="J145" s="1">
        <v>0.47</v>
      </c>
    </row>
    <row r="146" spans="2:10" x14ac:dyDescent="0.2">
      <c r="B146" s="2">
        <v>4048.23</v>
      </c>
      <c r="C146" s="1">
        <v>2784.73</v>
      </c>
      <c r="D146" s="2">
        <v>89.29</v>
      </c>
      <c r="E146" s="2">
        <v>358.65</v>
      </c>
      <c r="F146" s="2">
        <v>0.35</v>
      </c>
      <c r="G146" s="1">
        <v>1385.79</v>
      </c>
      <c r="H146" s="1">
        <v>191.01</v>
      </c>
      <c r="I146" s="1">
        <v>0.22</v>
      </c>
      <c r="J146" s="1">
        <v>-0.28000000000000003</v>
      </c>
    </row>
    <row r="147" spans="2:10" x14ac:dyDescent="0.2">
      <c r="B147" s="2">
        <v>4077.24</v>
      </c>
      <c r="C147" s="1">
        <v>2785.11</v>
      </c>
      <c r="D147" s="2">
        <v>89.2</v>
      </c>
      <c r="E147" s="2">
        <v>0.42</v>
      </c>
      <c r="F147" s="2">
        <v>1.83</v>
      </c>
      <c r="G147" s="1">
        <v>1414.79</v>
      </c>
      <c r="H147" s="1">
        <v>190.78</v>
      </c>
      <c r="I147" s="1">
        <v>-0.09</v>
      </c>
      <c r="J147" s="1">
        <v>1.83</v>
      </c>
    </row>
    <row r="148" spans="2:10" x14ac:dyDescent="0.2">
      <c r="B148" s="2">
        <v>4106.13</v>
      </c>
      <c r="C148" s="1">
        <v>2785.47</v>
      </c>
      <c r="D148" s="2">
        <v>89.38</v>
      </c>
      <c r="E148" s="2">
        <v>1.58</v>
      </c>
      <c r="F148" s="2">
        <v>1.22</v>
      </c>
      <c r="G148" s="1">
        <v>1443.67</v>
      </c>
      <c r="H148" s="1">
        <v>191.28</v>
      </c>
      <c r="I148" s="1">
        <v>0.19</v>
      </c>
      <c r="J148" s="1">
        <v>1.2</v>
      </c>
    </row>
    <row r="149" spans="2:10" x14ac:dyDescent="0.2">
      <c r="B149" s="2">
        <v>4135.3</v>
      </c>
      <c r="C149" s="1">
        <v>2785.75</v>
      </c>
      <c r="D149" s="2">
        <v>89.51</v>
      </c>
      <c r="E149" s="2">
        <v>0.42</v>
      </c>
      <c r="F149" s="2">
        <v>1.2</v>
      </c>
      <c r="G149" s="1">
        <v>1472.84</v>
      </c>
      <c r="H149" s="1">
        <v>191.79</v>
      </c>
      <c r="I149" s="1">
        <v>0.13</v>
      </c>
      <c r="J149" s="1">
        <v>-1.19</v>
      </c>
    </row>
    <row r="150" spans="2:10" x14ac:dyDescent="0.2">
      <c r="B150" s="2">
        <v>4164.16</v>
      </c>
      <c r="C150" s="1">
        <v>2786.07</v>
      </c>
      <c r="D150" s="2">
        <v>89.23</v>
      </c>
      <c r="E150" s="2">
        <v>0.45</v>
      </c>
      <c r="F150" s="2">
        <v>0.28999999999999998</v>
      </c>
      <c r="G150" s="1">
        <v>1501.7</v>
      </c>
      <c r="H150" s="1">
        <v>192.01</v>
      </c>
      <c r="I150" s="1">
        <v>-0.28999999999999998</v>
      </c>
      <c r="J150" s="1">
        <v>0.03</v>
      </c>
    </row>
    <row r="151" spans="2:10" x14ac:dyDescent="0.2">
      <c r="B151" s="2">
        <v>4193.21</v>
      </c>
      <c r="C151" s="1">
        <v>2786.33</v>
      </c>
      <c r="D151" s="2">
        <v>89.75</v>
      </c>
      <c r="E151" s="2">
        <v>1.82</v>
      </c>
      <c r="F151" s="2">
        <v>1.51</v>
      </c>
      <c r="G151" s="1">
        <v>1530.74</v>
      </c>
      <c r="H151" s="1">
        <v>192.58</v>
      </c>
      <c r="I151" s="1">
        <v>0.54</v>
      </c>
      <c r="J151" s="1">
        <v>1.41</v>
      </c>
    </row>
    <row r="152" spans="2:10" x14ac:dyDescent="0.2">
      <c r="B152" s="2">
        <v>4221.84</v>
      </c>
      <c r="C152" s="1">
        <v>2786.23</v>
      </c>
      <c r="D152" s="2">
        <v>90.65</v>
      </c>
      <c r="E152" s="2">
        <v>1.04</v>
      </c>
      <c r="F152" s="2">
        <v>1.25</v>
      </c>
      <c r="G152" s="1">
        <v>1559.36</v>
      </c>
      <c r="H152" s="1">
        <v>193.3</v>
      </c>
      <c r="I152" s="1">
        <v>0.94</v>
      </c>
      <c r="J152" s="1">
        <v>-0.82</v>
      </c>
    </row>
    <row r="153" spans="2:10" x14ac:dyDescent="0.2">
      <c r="B153" s="2">
        <v>4250.54</v>
      </c>
      <c r="C153" s="1">
        <v>2785.84</v>
      </c>
      <c r="D153" s="2">
        <v>90.92</v>
      </c>
      <c r="E153" s="2">
        <v>3.66</v>
      </c>
      <c r="F153" s="2">
        <v>2.75</v>
      </c>
      <c r="G153" s="1">
        <v>1588.03</v>
      </c>
      <c r="H153" s="1">
        <v>194.47</v>
      </c>
      <c r="I153" s="1">
        <v>0.28000000000000003</v>
      </c>
      <c r="J153" s="1">
        <v>2.74</v>
      </c>
    </row>
    <row r="154" spans="2:10" x14ac:dyDescent="0.2">
      <c r="B154" s="2">
        <v>4279.54</v>
      </c>
      <c r="C154" s="1">
        <v>2785.5</v>
      </c>
      <c r="D154" s="2">
        <v>90.43</v>
      </c>
      <c r="E154" s="2">
        <v>0.57999999999999996</v>
      </c>
      <c r="F154" s="2">
        <v>3.23</v>
      </c>
      <c r="G154" s="1">
        <v>1617</v>
      </c>
      <c r="H154" s="1">
        <v>195.55</v>
      </c>
      <c r="I154" s="1">
        <v>-0.51</v>
      </c>
      <c r="J154" s="1">
        <v>-3.19</v>
      </c>
    </row>
    <row r="155" spans="2:10" x14ac:dyDescent="0.2">
      <c r="B155" s="2">
        <v>4308.3900000000003</v>
      </c>
      <c r="C155" s="1">
        <v>2785.16</v>
      </c>
      <c r="D155" s="2">
        <v>90.89</v>
      </c>
      <c r="E155" s="2">
        <v>0.68</v>
      </c>
      <c r="F155" s="2">
        <v>0.49</v>
      </c>
      <c r="G155" s="1">
        <v>1645.85</v>
      </c>
      <c r="H155" s="1">
        <v>195.86</v>
      </c>
      <c r="I155" s="1">
        <v>0.48</v>
      </c>
      <c r="J155" s="1">
        <v>0.1</v>
      </c>
    </row>
    <row r="156" spans="2:10" x14ac:dyDescent="0.2">
      <c r="B156" s="2">
        <v>4337.3</v>
      </c>
      <c r="C156" s="1">
        <v>2784.71</v>
      </c>
      <c r="D156" s="2">
        <v>90.92</v>
      </c>
      <c r="E156" s="2">
        <v>3.42</v>
      </c>
      <c r="F156" s="2">
        <v>2.84</v>
      </c>
      <c r="G156" s="1">
        <v>1674.73</v>
      </c>
      <c r="H156" s="1">
        <v>196.9</v>
      </c>
      <c r="I156" s="1">
        <v>0.03</v>
      </c>
      <c r="J156" s="1">
        <v>2.84</v>
      </c>
    </row>
    <row r="157" spans="2:10" x14ac:dyDescent="0.2">
      <c r="B157" s="2">
        <v>4366.2</v>
      </c>
      <c r="C157" s="1">
        <v>2784.44</v>
      </c>
      <c r="D157" s="2">
        <v>90.12</v>
      </c>
      <c r="E157" s="2">
        <v>4.41</v>
      </c>
      <c r="F157" s="2">
        <v>1.32</v>
      </c>
      <c r="G157" s="1">
        <v>1703.57</v>
      </c>
      <c r="H157" s="1">
        <v>198.87</v>
      </c>
      <c r="I157" s="1">
        <v>-0.83</v>
      </c>
      <c r="J157" s="1">
        <v>1.03</v>
      </c>
    </row>
    <row r="158" spans="2:10" x14ac:dyDescent="0.2">
      <c r="B158" s="2">
        <v>4395.0600000000004</v>
      </c>
      <c r="C158" s="1">
        <v>2784.55</v>
      </c>
      <c r="D158" s="2">
        <v>89.45</v>
      </c>
      <c r="E158" s="2">
        <v>1.49</v>
      </c>
      <c r="F158" s="2">
        <v>3.11</v>
      </c>
      <c r="G158" s="1">
        <v>1732.38</v>
      </c>
      <c r="H158" s="1">
        <v>200.36</v>
      </c>
      <c r="I158" s="1">
        <v>-0.7</v>
      </c>
      <c r="J158" s="1">
        <v>-3.04</v>
      </c>
    </row>
    <row r="159" spans="2:10" x14ac:dyDescent="0.2">
      <c r="B159" s="2">
        <v>4422.55</v>
      </c>
      <c r="C159" s="1">
        <v>2784.92</v>
      </c>
      <c r="D159" s="2">
        <v>89.01</v>
      </c>
      <c r="E159" s="2">
        <v>3.05</v>
      </c>
      <c r="F159" s="2">
        <v>1.77</v>
      </c>
      <c r="G159" s="1">
        <v>1759.85</v>
      </c>
      <c r="H159" s="1">
        <v>201.45</v>
      </c>
      <c r="I159" s="1">
        <v>-0.48</v>
      </c>
      <c r="J159" s="1">
        <v>1.7</v>
      </c>
    </row>
    <row r="160" spans="2:10" x14ac:dyDescent="0.2">
      <c r="B160" s="2">
        <v>4450.58</v>
      </c>
      <c r="C160" s="1">
        <v>2785.34</v>
      </c>
      <c r="D160" s="2">
        <v>89.29</v>
      </c>
      <c r="E160" s="2">
        <v>359.43</v>
      </c>
      <c r="F160" s="2">
        <v>3.89</v>
      </c>
      <c r="G160" s="1">
        <v>1787.86</v>
      </c>
      <c r="H160" s="1">
        <v>202.05</v>
      </c>
      <c r="I160" s="1">
        <v>0.3</v>
      </c>
      <c r="J160" s="1">
        <v>-3.87</v>
      </c>
    </row>
    <row r="161" spans="2:10" x14ac:dyDescent="0.2">
      <c r="B161" s="2">
        <v>4479.54</v>
      </c>
      <c r="C161" s="1">
        <v>2785.25</v>
      </c>
      <c r="D161" s="2">
        <v>91.05</v>
      </c>
      <c r="E161" s="2">
        <v>359.1</v>
      </c>
      <c r="F161" s="2">
        <v>1.85</v>
      </c>
      <c r="G161" s="1">
        <v>1816.82</v>
      </c>
      <c r="H161" s="1">
        <v>201.68</v>
      </c>
      <c r="I161" s="1">
        <v>1.82</v>
      </c>
      <c r="J161" s="1">
        <v>-0.34</v>
      </c>
    </row>
    <row r="162" spans="2:10" x14ac:dyDescent="0.2">
      <c r="B162" s="2">
        <v>4508.28</v>
      </c>
      <c r="C162" s="1">
        <v>2785.15</v>
      </c>
      <c r="D162" s="2">
        <v>89.35</v>
      </c>
      <c r="E162" s="2">
        <v>359.45</v>
      </c>
      <c r="F162" s="2">
        <v>1.81</v>
      </c>
      <c r="G162" s="1">
        <v>1845.56</v>
      </c>
      <c r="H162" s="1">
        <v>201.32</v>
      </c>
      <c r="I162" s="1">
        <v>-1.77</v>
      </c>
      <c r="J162" s="1">
        <v>0.37</v>
      </c>
    </row>
    <row r="163" spans="2:10" x14ac:dyDescent="0.2">
      <c r="B163" s="2">
        <v>4537.1400000000003</v>
      </c>
      <c r="C163" s="1">
        <v>2785.57</v>
      </c>
      <c r="D163" s="2">
        <v>88.98</v>
      </c>
      <c r="E163" s="2">
        <v>359.18</v>
      </c>
      <c r="F163" s="2">
        <v>0.48</v>
      </c>
      <c r="G163" s="1">
        <v>1874.41</v>
      </c>
      <c r="H163" s="1">
        <v>200.97</v>
      </c>
      <c r="I163" s="1">
        <v>-0.38</v>
      </c>
      <c r="J163" s="1">
        <v>-0.28000000000000003</v>
      </c>
    </row>
    <row r="164" spans="2:10" x14ac:dyDescent="0.2">
      <c r="B164" s="2">
        <v>4565.9399999999996</v>
      </c>
      <c r="C164" s="1">
        <v>2785.77</v>
      </c>
      <c r="D164" s="2">
        <v>90.25</v>
      </c>
      <c r="E164" s="2">
        <v>359.2</v>
      </c>
      <c r="F164" s="2">
        <v>1.32</v>
      </c>
      <c r="G164" s="1">
        <v>1903.21</v>
      </c>
      <c r="H164" s="1">
        <v>200.56</v>
      </c>
      <c r="I164" s="1">
        <v>1.32</v>
      </c>
      <c r="J164" s="1">
        <v>0.02</v>
      </c>
    </row>
    <row r="165" spans="2:10" x14ac:dyDescent="0.2">
      <c r="B165" s="2">
        <v>4595.1499999999996</v>
      </c>
      <c r="C165" s="1">
        <v>2785.55</v>
      </c>
      <c r="D165" s="2">
        <v>90.58</v>
      </c>
      <c r="E165" s="2">
        <v>359.77</v>
      </c>
      <c r="F165" s="2">
        <v>0.68</v>
      </c>
      <c r="G165" s="1">
        <v>1932.42</v>
      </c>
      <c r="H165" s="1">
        <v>200.3</v>
      </c>
      <c r="I165" s="1">
        <v>0.34</v>
      </c>
      <c r="J165" s="1">
        <v>0.59</v>
      </c>
    </row>
    <row r="166" spans="2:10" x14ac:dyDescent="0.2">
      <c r="B166" s="2">
        <v>4624.01</v>
      </c>
      <c r="C166" s="1">
        <v>2785.41</v>
      </c>
      <c r="D166" s="2">
        <v>90</v>
      </c>
      <c r="E166" s="2">
        <v>358.85</v>
      </c>
      <c r="F166" s="2">
        <v>1.1299999999999999</v>
      </c>
      <c r="G166" s="1">
        <v>1961.27</v>
      </c>
      <c r="H166" s="1">
        <v>199.95</v>
      </c>
      <c r="I166" s="1">
        <v>-0.6</v>
      </c>
      <c r="J166" s="1">
        <v>-0.96</v>
      </c>
    </row>
    <row r="167" spans="2:10" x14ac:dyDescent="0.2">
      <c r="B167" s="2">
        <v>4652.8999999999996</v>
      </c>
      <c r="C167" s="1">
        <v>2785.39</v>
      </c>
      <c r="D167" s="2">
        <v>90.06</v>
      </c>
      <c r="E167" s="2">
        <v>0.53</v>
      </c>
      <c r="F167" s="2">
        <v>1.75</v>
      </c>
      <c r="G167" s="1">
        <v>1990.16</v>
      </c>
      <c r="H167" s="1">
        <v>199.8</v>
      </c>
      <c r="I167" s="1">
        <v>0.06</v>
      </c>
      <c r="J167" s="1">
        <v>1.74</v>
      </c>
    </row>
    <row r="168" spans="2:10" x14ac:dyDescent="0.2">
      <c r="B168" s="2">
        <v>4681.88</v>
      </c>
      <c r="C168" s="1">
        <v>2785.41</v>
      </c>
      <c r="D168" s="2">
        <v>89.88</v>
      </c>
      <c r="E168" s="2">
        <v>2.64</v>
      </c>
      <c r="F168" s="2">
        <v>2.19</v>
      </c>
      <c r="G168" s="1">
        <v>2019.13</v>
      </c>
      <c r="H168" s="1">
        <v>200.6</v>
      </c>
      <c r="I168" s="1">
        <v>-0.19</v>
      </c>
      <c r="J168" s="1">
        <v>2.1800000000000002</v>
      </c>
    </row>
    <row r="169" spans="2:10" x14ac:dyDescent="0.2">
      <c r="B169" s="2">
        <v>4710.72</v>
      </c>
      <c r="C169" s="1">
        <v>2785.33</v>
      </c>
      <c r="D169" s="2">
        <v>90.43</v>
      </c>
      <c r="E169" s="2">
        <v>1.63</v>
      </c>
      <c r="F169" s="2">
        <v>1.2</v>
      </c>
      <c r="G169" s="1">
        <v>2047.95</v>
      </c>
      <c r="H169" s="1">
        <v>201.67</v>
      </c>
      <c r="I169" s="1">
        <v>0.56999999999999995</v>
      </c>
      <c r="J169" s="1">
        <v>-1.05</v>
      </c>
    </row>
    <row r="170" spans="2:10" x14ac:dyDescent="0.2">
      <c r="B170" s="2">
        <v>4739.87</v>
      </c>
      <c r="C170" s="1">
        <v>2785.06</v>
      </c>
      <c r="D170" s="2">
        <v>90.62</v>
      </c>
      <c r="E170" s="2">
        <v>0.74</v>
      </c>
      <c r="F170" s="2">
        <v>0.94</v>
      </c>
      <c r="G170" s="1">
        <v>2077.09</v>
      </c>
      <c r="H170" s="1">
        <v>202.28</v>
      </c>
      <c r="I170" s="1">
        <v>0.2</v>
      </c>
      <c r="J170" s="1">
        <v>-0.92</v>
      </c>
    </row>
    <row r="171" spans="2:10" x14ac:dyDescent="0.2">
      <c r="B171" s="2">
        <v>4768.9799999999996</v>
      </c>
      <c r="C171" s="1">
        <v>2785.34</v>
      </c>
      <c r="D171" s="2">
        <v>88.27</v>
      </c>
      <c r="E171" s="2">
        <v>0.57999999999999996</v>
      </c>
      <c r="F171" s="2">
        <v>2.4300000000000002</v>
      </c>
      <c r="G171" s="1">
        <v>2106.1999999999998</v>
      </c>
      <c r="H171" s="1">
        <v>202.61</v>
      </c>
      <c r="I171" s="1">
        <v>-2.42</v>
      </c>
      <c r="J171" s="1">
        <v>-0.16</v>
      </c>
    </row>
    <row r="172" spans="2:10" x14ac:dyDescent="0.2">
      <c r="B172" s="2">
        <v>4797.76</v>
      </c>
      <c r="C172" s="1">
        <v>2785.85</v>
      </c>
      <c r="D172" s="2">
        <v>89.72</v>
      </c>
      <c r="E172" s="2">
        <v>0.94</v>
      </c>
      <c r="F172" s="2">
        <v>1.56</v>
      </c>
      <c r="G172" s="1">
        <v>2134.9699999999998</v>
      </c>
      <c r="H172" s="1">
        <v>202.99</v>
      </c>
      <c r="I172" s="1">
        <v>1.51</v>
      </c>
      <c r="J172" s="1">
        <v>0.38</v>
      </c>
    </row>
    <row r="173" spans="2:10" x14ac:dyDescent="0.2">
      <c r="B173" s="2">
        <v>4826.84</v>
      </c>
      <c r="C173" s="1">
        <v>2786.19</v>
      </c>
      <c r="D173" s="2">
        <v>88.95</v>
      </c>
      <c r="E173" s="2">
        <v>359.21</v>
      </c>
      <c r="F173" s="2">
        <v>1.95</v>
      </c>
      <c r="G173" s="1">
        <v>2164.04</v>
      </c>
      <c r="H173" s="1">
        <v>203.03</v>
      </c>
      <c r="I173" s="1">
        <v>-0.79</v>
      </c>
      <c r="J173" s="1">
        <v>-1.78</v>
      </c>
    </row>
    <row r="174" spans="2:10" x14ac:dyDescent="0.2">
      <c r="B174" s="2">
        <v>4855.8500000000004</v>
      </c>
      <c r="C174" s="1">
        <v>2786.66</v>
      </c>
      <c r="D174" s="2">
        <v>89.17</v>
      </c>
      <c r="E174" s="2">
        <v>359.06</v>
      </c>
      <c r="F174" s="2">
        <v>0.28000000000000003</v>
      </c>
      <c r="G174" s="1">
        <v>2193.0500000000002</v>
      </c>
      <c r="H174" s="1">
        <v>202.59</v>
      </c>
      <c r="I174" s="1">
        <v>0.23</v>
      </c>
      <c r="J174" s="1">
        <v>-0.16</v>
      </c>
    </row>
    <row r="175" spans="2:10" x14ac:dyDescent="0.2">
      <c r="B175" s="2">
        <v>4885.0200000000004</v>
      </c>
      <c r="C175" s="1">
        <v>2787.1</v>
      </c>
      <c r="D175" s="2">
        <v>89.11</v>
      </c>
      <c r="E175" s="2">
        <v>359.5</v>
      </c>
      <c r="F175" s="2">
        <v>0.46</v>
      </c>
      <c r="G175" s="1">
        <v>2222.21</v>
      </c>
      <c r="H175" s="1">
        <v>202.23</v>
      </c>
      <c r="I175" s="1">
        <v>-0.06</v>
      </c>
      <c r="J175" s="1">
        <v>0.45</v>
      </c>
    </row>
    <row r="176" spans="2:10" x14ac:dyDescent="0.2">
      <c r="B176" s="2">
        <v>4913.55</v>
      </c>
      <c r="C176" s="1">
        <v>2787.29</v>
      </c>
      <c r="D176" s="2">
        <v>90.15</v>
      </c>
      <c r="E176" s="2">
        <v>0.68</v>
      </c>
      <c r="F176" s="2">
        <v>1.65</v>
      </c>
      <c r="G176" s="1">
        <v>2250.7399999999998</v>
      </c>
      <c r="H176" s="1">
        <v>202.27</v>
      </c>
      <c r="I176" s="1">
        <v>1.0900000000000001</v>
      </c>
      <c r="J176" s="1">
        <v>1.24</v>
      </c>
    </row>
    <row r="177" spans="2:10" x14ac:dyDescent="0.2">
      <c r="B177" s="2">
        <v>4942.6400000000003</v>
      </c>
      <c r="C177" s="1">
        <v>2787.04</v>
      </c>
      <c r="D177" s="2">
        <v>90.8</v>
      </c>
      <c r="E177" s="2">
        <v>1.03</v>
      </c>
      <c r="F177" s="2">
        <v>0.76</v>
      </c>
      <c r="G177" s="1">
        <v>2279.83</v>
      </c>
      <c r="H177" s="1">
        <v>202.71</v>
      </c>
      <c r="I177" s="1">
        <v>0.67</v>
      </c>
      <c r="J177" s="1">
        <v>0.36</v>
      </c>
    </row>
    <row r="178" spans="2:10" x14ac:dyDescent="0.2">
      <c r="B178" s="2">
        <v>4971.1099999999997</v>
      </c>
      <c r="C178" s="1">
        <v>2786.75</v>
      </c>
      <c r="D178" s="2">
        <v>90.4</v>
      </c>
      <c r="E178" s="2">
        <v>0.08</v>
      </c>
      <c r="F178" s="2">
        <v>1.0900000000000001</v>
      </c>
      <c r="G178" s="1">
        <v>2308.29</v>
      </c>
      <c r="H178" s="1">
        <v>202.98</v>
      </c>
      <c r="I178" s="1">
        <v>-0.42</v>
      </c>
      <c r="J178" s="1">
        <v>-1</v>
      </c>
    </row>
    <row r="179" spans="2:10" x14ac:dyDescent="0.2">
      <c r="B179" s="2">
        <v>5000.5200000000004</v>
      </c>
      <c r="C179" s="1">
        <v>2786.41</v>
      </c>
      <c r="D179" s="2">
        <v>90.92</v>
      </c>
      <c r="E179" s="2">
        <v>5.53</v>
      </c>
      <c r="F179" s="2">
        <v>5.58</v>
      </c>
      <c r="G179" s="1">
        <v>2337.65</v>
      </c>
      <c r="H179" s="1">
        <v>204.42</v>
      </c>
      <c r="I179" s="1">
        <v>0.53</v>
      </c>
      <c r="J179" s="1">
        <v>5.56</v>
      </c>
    </row>
    <row r="180" spans="2:10" x14ac:dyDescent="0.2">
      <c r="B180" s="2">
        <v>5029.5200000000004</v>
      </c>
      <c r="C180" s="1">
        <v>2786.31</v>
      </c>
      <c r="D180" s="2">
        <v>89.45</v>
      </c>
      <c r="E180" s="2">
        <v>7.06</v>
      </c>
      <c r="F180" s="2">
        <v>2.19</v>
      </c>
      <c r="G180" s="1">
        <v>2366.48</v>
      </c>
      <c r="H180" s="1">
        <v>207.6</v>
      </c>
      <c r="I180" s="1">
        <v>-1.52</v>
      </c>
      <c r="J180" s="1">
        <v>1.58</v>
      </c>
    </row>
    <row r="181" spans="2:10" x14ac:dyDescent="0.2">
      <c r="B181" s="2">
        <v>5057.6499999999996</v>
      </c>
      <c r="C181" s="1">
        <v>2786.61</v>
      </c>
      <c r="D181" s="2">
        <v>89.35</v>
      </c>
      <c r="E181" s="2">
        <v>6.64</v>
      </c>
      <c r="F181" s="2">
        <v>0.46</v>
      </c>
      <c r="G181" s="1">
        <v>2394.4</v>
      </c>
      <c r="H181" s="1">
        <v>210.95</v>
      </c>
      <c r="I181" s="1">
        <v>-0.11</v>
      </c>
      <c r="J181" s="1">
        <v>-0.45</v>
      </c>
    </row>
    <row r="182" spans="2:10" x14ac:dyDescent="0.2">
      <c r="B182" s="2">
        <v>5085.29</v>
      </c>
      <c r="C182" s="1">
        <v>2786.7</v>
      </c>
      <c r="D182" s="2">
        <v>90.28</v>
      </c>
      <c r="E182" s="2">
        <v>2.7</v>
      </c>
      <c r="F182" s="2">
        <v>4.3899999999999997</v>
      </c>
      <c r="G182" s="1">
        <v>2421.9499999999998</v>
      </c>
      <c r="H182" s="1">
        <v>213.2</v>
      </c>
      <c r="I182" s="1">
        <v>1.01</v>
      </c>
      <c r="J182" s="1">
        <v>-4.28</v>
      </c>
    </row>
    <row r="183" spans="2:10" x14ac:dyDescent="0.2">
      <c r="B183" s="2">
        <v>5114.55</v>
      </c>
      <c r="C183" s="1">
        <v>2786.42</v>
      </c>
      <c r="D183" s="2">
        <v>90.8</v>
      </c>
      <c r="E183" s="2">
        <v>357.29</v>
      </c>
      <c r="F183" s="2">
        <v>5.57</v>
      </c>
      <c r="G183" s="1">
        <v>2451.19</v>
      </c>
      <c r="H183" s="1">
        <v>213.2</v>
      </c>
      <c r="I183" s="1">
        <v>0.53</v>
      </c>
      <c r="J183" s="1">
        <v>-5.55</v>
      </c>
    </row>
    <row r="184" spans="2:10" x14ac:dyDescent="0.2">
      <c r="B184" s="2">
        <v>5143.82</v>
      </c>
      <c r="C184" s="1">
        <v>2785.93</v>
      </c>
      <c r="D184" s="2">
        <v>91.11</v>
      </c>
      <c r="E184" s="2">
        <v>355.63</v>
      </c>
      <c r="F184" s="2">
        <v>1.73</v>
      </c>
      <c r="G184" s="1">
        <v>2480.4</v>
      </c>
      <c r="H184" s="1">
        <v>211.4</v>
      </c>
      <c r="I184" s="1">
        <v>0.32</v>
      </c>
      <c r="J184" s="1">
        <v>-1.7</v>
      </c>
    </row>
    <row r="185" spans="2:10" x14ac:dyDescent="0.2">
      <c r="B185" s="2">
        <v>5172.68</v>
      </c>
      <c r="C185" s="1">
        <v>2785.81</v>
      </c>
      <c r="D185" s="2">
        <v>89.38</v>
      </c>
      <c r="E185" s="2">
        <v>355.64</v>
      </c>
      <c r="F185" s="2">
        <v>1.8</v>
      </c>
      <c r="G185" s="1">
        <v>2509.1799999999998</v>
      </c>
      <c r="H185" s="1">
        <v>209.2</v>
      </c>
      <c r="I185" s="1">
        <v>-1.8</v>
      </c>
      <c r="J185" s="1">
        <v>0.01</v>
      </c>
    </row>
    <row r="186" spans="2:10" x14ac:dyDescent="0.2">
      <c r="B186" s="2">
        <v>5201.7</v>
      </c>
      <c r="C186" s="1">
        <v>2786.01</v>
      </c>
      <c r="D186" s="2">
        <v>89.82</v>
      </c>
      <c r="E186" s="2">
        <v>355.01</v>
      </c>
      <c r="F186" s="2">
        <v>0.79</v>
      </c>
      <c r="G186" s="1">
        <v>2538.1</v>
      </c>
      <c r="H186" s="1">
        <v>206.83</v>
      </c>
      <c r="I186" s="1">
        <v>0.45</v>
      </c>
      <c r="J186" s="1">
        <v>-0.65</v>
      </c>
    </row>
    <row r="187" spans="2:10" x14ac:dyDescent="0.2">
      <c r="B187" s="2">
        <v>5230.72</v>
      </c>
      <c r="C187" s="1">
        <v>2785.72</v>
      </c>
      <c r="D187" s="2">
        <v>91.32</v>
      </c>
      <c r="E187" s="2">
        <v>356.46</v>
      </c>
      <c r="F187" s="2">
        <v>2.16</v>
      </c>
      <c r="G187" s="1">
        <v>2567.04</v>
      </c>
      <c r="H187" s="1">
        <v>204.68</v>
      </c>
      <c r="I187" s="1">
        <v>1.55</v>
      </c>
      <c r="J187" s="1">
        <v>1.5</v>
      </c>
    </row>
    <row r="188" spans="2:10" x14ac:dyDescent="0.2">
      <c r="B188" s="2">
        <v>5259.84</v>
      </c>
      <c r="C188" s="1">
        <v>2785.1</v>
      </c>
      <c r="D188" s="2">
        <v>91.14</v>
      </c>
      <c r="E188" s="2">
        <v>355.22</v>
      </c>
      <c r="F188" s="2">
        <v>1.29</v>
      </c>
      <c r="G188" s="1">
        <v>2596.0700000000002</v>
      </c>
      <c r="H188" s="1">
        <v>202.56</v>
      </c>
      <c r="I188" s="1">
        <v>-0.19</v>
      </c>
      <c r="J188" s="1">
        <v>-1.28</v>
      </c>
    </row>
    <row r="189" spans="2:10" x14ac:dyDescent="0.2">
      <c r="B189" s="2">
        <v>5289.38</v>
      </c>
      <c r="C189" s="1">
        <v>2784.46</v>
      </c>
      <c r="D189" s="2">
        <v>91.32</v>
      </c>
      <c r="E189" s="2">
        <v>354.21</v>
      </c>
      <c r="F189" s="2">
        <v>1.04</v>
      </c>
      <c r="G189" s="1">
        <v>2625.48</v>
      </c>
      <c r="H189" s="1">
        <v>199.84</v>
      </c>
      <c r="I189" s="1">
        <v>0.18</v>
      </c>
      <c r="J189" s="1">
        <v>-1.03</v>
      </c>
    </row>
    <row r="190" spans="2:10" x14ac:dyDescent="0.2">
      <c r="B190" s="2">
        <v>5318.84</v>
      </c>
      <c r="C190" s="1">
        <v>2783.79</v>
      </c>
      <c r="D190" s="2">
        <v>91.32</v>
      </c>
      <c r="E190" s="2">
        <v>353.07</v>
      </c>
      <c r="F190" s="2">
        <v>1.1599999999999999</v>
      </c>
      <c r="G190" s="1">
        <v>2654.75</v>
      </c>
      <c r="H190" s="1">
        <v>196.58</v>
      </c>
      <c r="I190" s="1">
        <v>0</v>
      </c>
      <c r="J190" s="1">
        <v>-1.1599999999999999</v>
      </c>
    </row>
    <row r="191" spans="2:10" x14ac:dyDescent="0.2">
      <c r="B191" s="2">
        <v>5348.37</v>
      </c>
      <c r="C191" s="1">
        <v>2783.64</v>
      </c>
      <c r="D191" s="2">
        <v>89.23</v>
      </c>
      <c r="E191" s="2">
        <v>350.33</v>
      </c>
      <c r="F191" s="2">
        <v>3.5</v>
      </c>
      <c r="G191" s="1">
        <v>2683.97</v>
      </c>
      <c r="H191" s="1">
        <v>192.32</v>
      </c>
      <c r="I191" s="1">
        <v>-2.12</v>
      </c>
      <c r="J191" s="1">
        <v>-2.78</v>
      </c>
    </row>
    <row r="192" spans="2:10" x14ac:dyDescent="0.2">
      <c r="B192" s="2">
        <v>5377.69</v>
      </c>
      <c r="C192" s="1">
        <v>2783.96</v>
      </c>
      <c r="D192" s="2">
        <v>89.54</v>
      </c>
      <c r="E192" s="2">
        <v>348.3</v>
      </c>
      <c r="F192" s="2">
        <v>2.1</v>
      </c>
      <c r="G192" s="1">
        <v>2712.78</v>
      </c>
      <c r="H192" s="1">
        <v>186.88</v>
      </c>
      <c r="I192" s="1">
        <v>0.32</v>
      </c>
      <c r="J192" s="1">
        <v>-2.08</v>
      </c>
    </row>
    <row r="193" spans="2:10" x14ac:dyDescent="0.2">
      <c r="B193" s="2">
        <v>5406.98</v>
      </c>
      <c r="C193" s="1">
        <v>2784.09</v>
      </c>
      <c r="D193" s="2">
        <v>89.94</v>
      </c>
      <c r="E193" s="2">
        <v>348.6</v>
      </c>
      <c r="F193" s="2">
        <v>0.51</v>
      </c>
      <c r="G193" s="1">
        <v>2741.47</v>
      </c>
      <c r="H193" s="1">
        <v>181.02</v>
      </c>
      <c r="I193" s="1">
        <v>0.41</v>
      </c>
      <c r="J193" s="1">
        <v>0.31</v>
      </c>
    </row>
    <row r="194" spans="2:10" x14ac:dyDescent="0.2">
      <c r="B194" s="2">
        <v>5436.05</v>
      </c>
      <c r="C194" s="1">
        <v>2784.08</v>
      </c>
      <c r="D194" s="2">
        <v>90.12</v>
      </c>
      <c r="E194" s="2">
        <v>349.96</v>
      </c>
      <c r="F194" s="2">
        <v>1.42</v>
      </c>
      <c r="G194" s="1">
        <v>2770.03</v>
      </c>
      <c r="H194" s="1">
        <v>175.61</v>
      </c>
      <c r="I194" s="1">
        <v>0.19</v>
      </c>
      <c r="J194" s="1">
        <v>1.4</v>
      </c>
    </row>
    <row r="195" spans="2:10" x14ac:dyDescent="0.2">
      <c r="B195" s="2">
        <v>5465.05</v>
      </c>
      <c r="C195" s="1">
        <v>2784.09</v>
      </c>
      <c r="D195" s="2">
        <v>89.82</v>
      </c>
      <c r="E195" s="2">
        <v>349.4</v>
      </c>
      <c r="F195" s="2">
        <v>0.66</v>
      </c>
      <c r="G195" s="1">
        <v>2798.56</v>
      </c>
      <c r="H195" s="1">
        <v>170.42</v>
      </c>
      <c r="I195" s="1">
        <v>-0.31</v>
      </c>
      <c r="J195" s="1">
        <v>-0.57999999999999996</v>
      </c>
    </row>
    <row r="196" spans="2:10" x14ac:dyDescent="0.2">
      <c r="B196" s="2">
        <v>5493.82</v>
      </c>
      <c r="C196" s="1">
        <v>2784.17</v>
      </c>
      <c r="D196" s="2">
        <v>89.88</v>
      </c>
      <c r="E196" s="2">
        <v>346.24</v>
      </c>
      <c r="F196" s="2">
        <v>3.3</v>
      </c>
      <c r="G196" s="1">
        <v>2826.68</v>
      </c>
      <c r="H196" s="1">
        <v>164.35</v>
      </c>
      <c r="I196" s="1">
        <v>0.06</v>
      </c>
      <c r="J196" s="1">
        <v>-3.3</v>
      </c>
    </row>
    <row r="197" spans="2:10" x14ac:dyDescent="0.2">
      <c r="B197" s="2">
        <v>5501.88</v>
      </c>
      <c r="C197" s="1">
        <v>2784.16</v>
      </c>
      <c r="D197" s="2">
        <v>90.25</v>
      </c>
      <c r="E197" s="2">
        <v>346.94</v>
      </c>
      <c r="F197" s="2">
        <v>2.95</v>
      </c>
      <c r="G197" s="1">
        <v>2834.52</v>
      </c>
      <c r="H197" s="1">
        <v>162.47999999999999</v>
      </c>
      <c r="I197" s="1">
        <v>1.38</v>
      </c>
      <c r="J197" s="1">
        <v>2.61</v>
      </c>
    </row>
    <row r="198" spans="2:10" x14ac:dyDescent="0.2">
      <c r="B198" s="2">
        <v>5509</v>
      </c>
      <c r="C198" s="1">
        <v>2784.13</v>
      </c>
      <c r="D198" s="2">
        <v>90.25</v>
      </c>
      <c r="E198" s="2">
        <v>346.94</v>
      </c>
      <c r="F198" s="2">
        <v>0</v>
      </c>
      <c r="G198" s="1">
        <v>2841.46</v>
      </c>
      <c r="H198" s="1">
        <v>160.87</v>
      </c>
      <c r="I198" s="1">
        <v>0</v>
      </c>
      <c r="J198" s="1">
        <v>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51F2A-1839-614C-AC0C-9FB30F2B1EB0}">
  <sheetPr codeName="Sheet4">
    <tabColor rgb="FFFF0000"/>
  </sheetPr>
  <dimension ref="B2:J203"/>
  <sheetViews>
    <sheetView workbookViewId="0">
      <selection activeCell="B3" sqref="B3:J203"/>
    </sheetView>
  </sheetViews>
  <sheetFormatPr baseColWidth="10" defaultColWidth="11.1640625" defaultRowHeight="16" x14ac:dyDescent="0.2"/>
  <sheetData>
    <row r="2" spans="2:10" x14ac:dyDescent="0.2">
      <c r="B2" t="s">
        <v>0</v>
      </c>
      <c r="C2" t="s">
        <v>1</v>
      </c>
      <c r="D2" t="s">
        <v>7</v>
      </c>
      <c r="E2" t="s">
        <v>8</v>
      </c>
      <c r="F2" t="s">
        <v>6</v>
      </c>
      <c r="G2" t="s">
        <v>40</v>
      </c>
      <c r="H2" t="s">
        <v>41</v>
      </c>
      <c r="I2" t="s">
        <v>42</v>
      </c>
      <c r="J2" t="s">
        <v>43</v>
      </c>
    </row>
    <row r="3" spans="2:10" x14ac:dyDescent="0.2">
      <c r="B3" s="2">
        <v>0</v>
      </c>
      <c r="C3" s="2">
        <v>0</v>
      </c>
      <c r="D3" s="2">
        <v>0</v>
      </c>
      <c r="E3" s="2">
        <v>112.26</v>
      </c>
      <c r="F3" s="2">
        <v>0</v>
      </c>
      <c r="G3" s="2">
        <v>0</v>
      </c>
      <c r="H3" s="2">
        <v>0</v>
      </c>
      <c r="I3" s="2">
        <v>0</v>
      </c>
      <c r="J3" s="2">
        <v>0</v>
      </c>
    </row>
    <row r="4" spans="2:10" x14ac:dyDescent="0.2">
      <c r="B4" s="2">
        <v>26</v>
      </c>
      <c r="C4" s="2">
        <v>26</v>
      </c>
      <c r="D4" s="2">
        <v>0.4</v>
      </c>
      <c r="E4" s="2">
        <v>112.26</v>
      </c>
      <c r="F4" s="2">
        <v>0.46</v>
      </c>
      <c r="G4" s="2">
        <v>-0.03</v>
      </c>
      <c r="H4" s="2">
        <v>0.08</v>
      </c>
      <c r="I4" s="2">
        <v>0.46</v>
      </c>
      <c r="J4" s="2">
        <v>0</v>
      </c>
    </row>
    <row r="5" spans="2:10" x14ac:dyDescent="0.2">
      <c r="B5" s="2">
        <v>53.67</v>
      </c>
      <c r="C5" s="2">
        <v>53.67</v>
      </c>
      <c r="D5" s="2">
        <v>0.47</v>
      </c>
      <c r="E5" s="2">
        <v>125.06</v>
      </c>
      <c r="F5" s="2">
        <v>0.13</v>
      </c>
      <c r="G5" s="2">
        <v>-0.14000000000000001</v>
      </c>
      <c r="H5" s="2">
        <v>0.27</v>
      </c>
      <c r="I5" s="2">
        <v>0.08</v>
      </c>
      <c r="J5" s="2">
        <v>13.88</v>
      </c>
    </row>
    <row r="6" spans="2:10" x14ac:dyDescent="0.2">
      <c r="B6" s="2">
        <v>81.48</v>
      </c>
      <c r="C6" s="2">
        <v>81.48</v>
      </c>
      <c r="D6" s="2">
        <v>0.5</v>
      </c>
      <c r="E6" s="2">
        <v>123.53</v>
      </c>
      <c r="F6" s="2">
        <v>0.04</v>
      </c>
      <c r="G6" s="2">
        <v>-0.27</v>
      </c>
      <c r="H6" s="2">
        <v>0.46</v>
      </c>
      <c r="I6" s="2">
        <v>0.03</v>
      </c>
      <c r="J6" s="2">
        <v>-1.65</v>
      </c>
    </row>
    <row r="7" spans="2:10" x14ac:dyDescent="0.2">
      <c r="B7" s="2">
        <v>106.59</v>
      </c>
      <c r="C7" s="2">
        <v>106.59</v>
      </c>
      <c r="D7" s="2">
        <v>0.22</v>
      </c>
      <c r="E7" s="2">
        <v>88.66</v>
      </c>
      <c r="F7" s="2">
        <v>0.41</v>
      </c>
      <c r="G7" s="2">
        <v>-0.33</v>
      </c>
      <c r="H7" s="2">
        <v>0.6</v>
      </c>
      <c r="I7" s="2">
        <v>-0.33</v>
      </c>
      <c r="J7" s="2">
        <v>-41.66</v>
      </c>
    </row>
    <row r="8" spans="2:10" x14ac:dyDescent="0.2">
      <c r="B8" s="2">
        <v>134.29</v>
      </c>
      <c r="C8" s="2">
        <v>134.29</v>
      </c>
      <c r="D8" s="2">
        <v>0.11</v>
      </c>
      <c r="E8" s="2">
        <v>117.84</v>
      </c>
      <c r="F8" s="2">
        <v>0.15</v>
      </c>
      <c r="G8" s="2">
        <v>-0.34</v>
      </c>
      <c r="H8" s="2">
        <v>0.68</v>
      </c>
      <c r="I8" s="2">
        <v>-0.12</v>
      </c>
      <c r="J8" s="2">
        <v>31.6</v>
      </c>
    </row>
    <row r="9" spans="2:10" x14ac:dyDescent="0.2">
      <c r="B9" s="2">
        <v>164.3</v>
      </c>
      <c r="C9" s="2">
        <v>164.3</v>
      </c>
      <c r="D9" s="2">
        <v>0.1</v>
      </c>
      <c r="E9" s="2">
        <v>105.05</v>
      </c>
      <c r="F9" s="2">
        <v>0.03</v>
      </c>
      <c r="G9" s="2">
        <v>-0.36</v>
      </c>
      <c r="H9" s="2">
        <v>0.73</v>
      </c>
      <c r="I9" s="2">
        <v>-0.01</v>
      </c>
      <c r="J9" s="2">
        <v>-12.79</v>
      </c>
    </row>
    <row r="10" spans="2:10" x14ac:dyDescent="0.2">
      <c r="B10" s="2">
        <v>193.46</v>
      </c>
      <c r="C10" s="2">
        <v>193.46</v>
      </c>
      <c r="D10" s="2">
        <v>0.13</v>
      </c>
      <c r="E10" s="2">
        <v>69.31</v>
      </c>
      <c r="F10" s="2">
        <v>0.08</v>
      </c>
      <c r="G10" s="2">
        <v>-0.35</v>
      </c>
      <c r="H10" s="2">
        <v>0.78</v>
      </c>
      <c r="I10" s="2">
        <v>0.03</v>
      </c>
      <c r="J10" s="2">
        <v>-36.770000000000003</v>
      </c>
    </row>
    <row r="11" spans="2:10" x14ac:dyDescent="0.2">
      <c r="B11" s="2">
        <v>222.05</v>
      </c>
      <c r="C11" s="2">
        <v>222.05</v>
      </c>
      <c r="D11" s="2">
        <v>0.17</v>
      </c>
      <c r="E11" s="2">
        <v>40.909999999999997</v>
      </c>
      <c r="F11" s="2">
        <v>0.09</v>
      </c>
      <c r="G11" s="2">
        <v>-0.31</v>
      </c>
      <c r="H11" s="2">
        <v>0.84</v>
      </c>
      <c r="I11" s="2">
        <v>0.04</v>
      </c>
      <c r="J11" s="2">
        <v>-29.8</v>
      </c>
    </row>
    <row r="12" spans="2:10" x14ac:dyDescent="0.2">
      <c r="B12" s="2">
        <v>251.88</v>
      </c>
      <c r="C12" s="2">
        <v>251.88</v>
      </c>
      <c r="D12" s="2">
        <v>0.1</v>
      </c>
      <c r="E12" s="2">
        <v>277.37</v>
      </c>
      <c r="F12" s="2">
        <v>0.24</v>
      </c>
      <c r="G12" s="2">
        <v>-0.27</v>
      </c>
      <c r="H12" s="2">
        <v>0.84</v>
      </c>
      <c r="I12" s="2">
        <v>-7.0000000000000007E-2</v>
      </c>
      <c r="J12" s="2">
        <v>-124.24</v>
      </c>
    </row>
    <row r="13" spans="2:10" x14ac:dyDescent="0.2">
      <c r="B13" s="2">
        <v>281.25</v>
      </c>
      <c r="C13" s="2">
        <v>281.25</v>
      </c>
      <c r="D13" s="2">
        <v>0.22</v>
      </c>
      <c r="E13" s="2">
        <v>14.85</v>
      </c>
      <c r="F13" s="2">
        <v>0.26</v>
      </c>
      <c r="G13" s="2">
        <v>-0.22</v>
      </c>
      <c r="H13" s="2">
        <v>0.83</v>
      </c>
      <c r="I13" s="2">
        <v>0.12</v>
      </c>
      <c r="J13" s="2">
        <v>99.57</v>
      </c>
    </row>
    <row r="14" spans="2:10" x14ac:dyDescent="0.2">
      <c r="B14" s="2">
        <v>309.92</v>
      </c>
      <c r="C14" s="2">
        <v>309.92</v>
      </c>
      <c r="D14" s="2">
        <v>0.2</v>
      </c>
      <c r="E14" s="2">
        <v>10.19</v>
      </c>
      <c r="F14" s="2">
        <v>0.03</v>
      </c>
      <c r="G14" s="2">
        <v>-0.11</v>
      </c>
      <c r="H14" s="2">
        <v>0.86</v>
      </c>
      <c r="I14" s="2">
        <v>-0.02</v>
      </c>
      <c r="J14" s="2">
        <v>-4.88</v>
      </c>
    </row>
    <row r="15" spans="2:10" x14ac:dyDescent="0.2">
      <c r="B15" s="2">
        <v>339.48</v>
      </c>
      <c r="C15" s="2">
        <v>339.48</v>
      </c>
      <c r="D15" s="2">
        <v>7.0000000000000007E-2</v>
      </c>
      <c r="E15" s="2">
        <v>105.5</v>
      </c>
      <c r="F15" s="2">
        <v>0.22</v>
      </c>
      <c r="G15" s="2">
        <v>-7.0000000000000007E-2</v>
      </c>
      <c r="H15" s="2">
        <v>0.88</v>
      </c>
      <c r="I15" s="2">
        <v>-0.13</v>
      </c>
      <c r="J15" s="2">
        <v>96.73</v>
      </c>
    </row>
    <row r="16" spans="2:10" x14ac:dyDescent="0.2">
      <c r="B16" s="2">
        <v>367.98</v>
      </c>
      <c r="C16" s="2">
        <v>367.98</v>
      </c>
      <c r="D16" s="2">
        <v>0.20699999999999999</v>
      </c>
      <c r="E16" s="2">
        <v>71.97</v>
      </c>
      <c r="F16" s="2">
        <v>0.16</v>
      </c>
      <c r="G16" s="2">
        <v>-0.06</v>
      </c>
      <c r="H16" s="2">
        <v>0.95</v>
      </c>
      <c r="I16" s="2">
        <v>0.14000000000000001</v>
      </c>
      <c r="J16" s="2">
        <v>-35.29</v>
      </c>
    </row>
    <row r="17" spans="2:10" x14ac:dyDescent="0.2">
      <c r="B17" s="2">
        <v>368.47</v>
      </c>
      <c r="C17" s="2">
        <v>368.47</v>
      </c>
      <c r="D17" s="2">
        <v>0.21</v>
      </c>
      <c r="E17" s="2">
        <v>71.790000000000006</v>
      </c>
      <c r="F17" s="2">
        <v>0.16</v>
      </c>
      <c r="G17" s="2">
        <v>-0.06</v>
      </c>
      <c r="H17" s="2">
        <v>0.95</v>
      </c>
      <c r="I17" s="2">
        <v>0.16</v>
      </c>
      <c r="J17" s="2">
        <v>-11.1</v>
      </c>
    </row>
    <row r="18" spans="2:10" x14ac:dyDescent="0.2">
      <c r="B18" s="2">
        <v>398.05</v>
      </c>
      <c r="C18" s="2">
        <v>398.05</v>
      </c>
      <c r="D18" s="2">
        <v>0.11</v>
      </c>
      <c r="E18" s="2">
        <v>193.04</v>
      </c>
      <c r="F18" s="2">
        <v>0.28999999999999998</v>
      </c>
      <c r="G18" s="2">
        <v>-7.0000000000000007E-2</v>
      </c>
      <c r="H18" s="2">
        <v>1</v>
      </c>
      <c r="I18" s="2">
        <v>-0.1</v>
      </c>
      <c r="J18" s="2">
        <v>122.97</v>
      </c>
    </row>
    <row r="19" spans="2:10" x14ac:dyDescent="0.2">
      <c r="B19" s="2">
        <v>427.65</v>
      </c>
      <c r="C19" s="2">
        <v>427.65</v>
      </c>
      <c r="D19" s="2">
        <v>0.15</v>
      </c>
      <c r="E19" s="2">
        <v>293.76</v>
      </c>
      <c r="F19" s="2">
        <v>0.2</v>
      </c>
      <c r="G19" s="2">
        <v>-0.08</v>
      </c>
      <c r="H19" s="2">
        <v>0.95</v>
      </c>
      <c r="I19" s="2">
        <v>0.04</v>
      </c>
      <c r="J19" s="2">
        <v>102.08</v>
      </c>
    </row>
    <row r="20" spans="2:10" x14ac:dyDescent="0.2">
      <c r="B20" s="2">
        <v>440.98</v>
      </c>
      <c r="C20" s="2">
        <v>440.98</v>
      </c>
      <c r="D20" s="2">
        <v>0.153</v>
      </c>
      <c r="E20" s="2">
        <v>254.37799999999999</v>
      </c>
      <c r="F20" s="2">
        <v>0.23</v>
      </c>
      <c r="G20" s="2">
        <v>-0.08</v>
      </c>
      <c r="H20" s="2">
        <v>0.92</v>
      </c>
      <c r="I20" s="2">
        <v>0.01</v>
      </c>
      <c r="J20" s="2">
        <v>-88.61</v>
      </c>
    </row>
    <row r="21" spans="2:10" x14ac:dyDescent="0.2">
      <c r="B21" s="2">
        <v>457.21</v>
      </c>
      <c r="C21" s="2">
        <v>457.21</v>
      </c>
      <c r="D21" s="2">
        <v>0.23</v>
      </c>
      <c r="E21" s="2">
        <v>224.14</v>
      </c>
      <c r="F21" s="2">
        <v>0.23</v>
      </c>
      <c r="G21" s="2">
        <v>-0.11</v>
      </c>
      <c r="H21" s="2">
        <v>0.88</v>
      </c>
      <c r="I21" s="2">
        <v>0.14000000000000001</v>
      </c>
      <c r="J21" s="2">
        <v>-55.9</v>
      </c>
    </row>
    <row r="22" spans="2:10" x14ac:dyDescent="0.2">
      <c r="B22" s="2">
        <v>486.77</v>
      </c>
      <c r="C22" s="2">
        <v>486.77</v>
      </c>
      <c r="D22" s="2">
        <v>0.39</v>
      </c>
      <c r="E22" s="2">
        <v>249.67</v>
      </c>
      <c r="F22" s="2">
        <v>0.21</v>
      </c>
      <c r="G22" s="2">
        <v>-0.18</v>
      </c>
      <c r="H22" s="2">
        <v>0.74</v>
      </c>
      <c r="I22" s="2">
        <v>0.16</v>
      </c>
      <c r="J22" s="2">
        <v>25.91</v>
      </c>
    </row>
    <row r="23" spans="2:10" x14ac:dyDescent="0.2">
      <c r="B23" s="2">
        <v>516.37</v>
      </c>
      <c r="C23" s="2">
        <v>516.37</v>
      </c>
      <c r="D23" s="2">
        <v>0.34</v>
      </c>
      <c r="E23" s="2">
        <v>263.37</v>
      </c>
      <c r="F23" s="2">
        <v>0.1</v>
      </c>
      <c r="G23" s="2">
        <v>-0.23</v>
      </c>
      <c r="H23" s="2">
        <v>0.56000000000000005</v>
      </c>
      <c r="I23" s="2">
        <v>-0.05</v>
      </c>
      <c r="J23" s="2">
        <v>13.89</v>
      </c>
    </row>
    <row r="24" spans="2:10" x14ac:dyDescent="0.2">
      <c r="B24" s="2">
        <v>545.29999999999995</v>
      </c>
      <c r="C24" s="2">
        <v>545.29999999999995</v>
      </c>
      <c r="D24" s="2">
        <v>0.1</v>
      </c>
      <c r="E24" s="2">
        <v>260.32</v>
      </c>
      <c r="F24" s="2">
        <v>0.25</v>
      </c>
      <c r="G24" s="2">
        <v>-0.24</v>
      </c>
      <c r="H24" s="2">
        <v>0.45</v>
      </c>
      <c r="I24" s="2">
        <v>-0.25</v>
      </c>
      <c r="J24" s="2">
        <v>-3.16</v>
      </c>
    </row>
    <row r="25" spans="2:10" x14ac:dyDescent="0.2">
      <c r="B25" s="2">
        <v>574.98</v>
      </c>
      <c r="C25" s="2">
        <v>574.98</v>
      </c>
      <c r="D25" s="2">
        <v>0.12</v>
      </c>
      <c r="E25" s="2">
        <v>256.20999999999998</v>
      </c>
      <c r="F25" s="2">
        <v>0.02</v>
      </c>
      <c r="G25" s="2">
        <v>-0.25</v>
      </c>
      <c r="H25" s="2">
        <v>0.39</v>
      </c>
      <c r="I25" s="2">
        <v>0.02</v>
      </c>
      <c r="J25" s="2">
        <v>-4.1500000000000004</v>
      </c>
    </row>
    <row r="26" spans="2:10" x14ac:dyDescent="0.2">
      <c r="B26" s="2">
        <v>604.65</v>
      </c>
      <c r="C26" s="2">
        <v>604.65</v>
      </c>
      <c r="D26" s="2">
        <v>0.03</v>
      </c>
      <c r="E26" s="2">
        <v>119.59</v>
      </c>
      <c r="F26" s="2">
        <v>0.14000000000000001</v>
      </c>
      <c r="G26" s="2">
        <v>-0.27</v>
      </c>
      <c r="H26" s="2">
        <v>0.37</v>
      </c>
      <c r="I26" s="2">
        <v>-0.09</v>
      </c>
      <c r="J26" s="2">
        <v>-138.13999999999999</v>
      </c>
    </row>
    <row r="27" spans="2:10" x14ac:dyDescent="0.2">
      <c r="B27" s="2">
        <v>634</v>
      </c>
      <c r="C27" s="2">
        <v>634</v>
      </c>
      <c r="D27" s="2">
        <v>0.16</v>
      </c>
      <c r="E27" s="2">
        <v>183.73</v>
      </c>
      <c r="F27" s="2">
        <v>0.15</v>
      </c>
      <c r="G27" s="2">
        <v>-0.31</v>
      </c>
      <c r="H27" s="2">
        <v>0.37</v>
      </c>
      <c r="I27" s="2">
        <v>0.13</v>
      </c>
      <c r="J27" s="2">
        <v>65.56</v>
      </c>
    </row>
    <row r="28" spans="2:10" x14ac:dyDescent="0.2">
      <c r="B28" s="2">
        <v>663.09</v>
      </c>
      <c r="C28" s="2">
        <v>663.08</v>
      </c>
      <c r="D28" s="2">
        <v>0.13</v>
      </c>
      <c r="E28" s="2">
        <v>178.81</v>
      </c>
      <c r="F28" s="2">
        <v>0.03</v>
      </c>
      <c r="G28" s="2">
        <v>-0.38</v>
      </c>
      <c r="H28" s="2">
        <v>0.37</v>
      </c>
      <c r="I28" s="2">
        <v>-0.03</v>
      </c>
      <c r="J28" s="2">
        <v>-5.07</v>
      </c>
    </row>
    <row r="29" spans="2:10" x14ac:dyDescent="0.2">
      <c r="B29" s="2">
        <v>692.15</v>
      </c>
      <c r="C29" s="2">
        <v>692.14</v>
      </c>
      <c r="D29" s="2">
        <v>0.11</v>
      </c>
      <c r="E29" s="2">
        <v>94.09</v>
      </c>
      <c r="F29" s="2">
        <v>0.17</v>
      </c>
      <c r="G29" s="2">
        <v>-0.42</v>
      </c>
      <c r="H29" s="2">
        <v>0.4</v>
      </c>
      <c r="I29" s="2">
        <v>-0.02</v>
      </c>
      <c r="J29" s="2">
        <v>-87.46</v>
      </c>
    </row>
    <row r="30" spans="2:10" x14ac:dyDescent="0.2">
      <c r="B30" s="2">
        <v>720.93</v>
      </c>
      <c r="C30" s="2">
        <v>720.92</v>
      </c>
      <c r="D30" s="2">
        <v>0.18</v>
      </c>
      <c r="E30" s="2">
        <v>16.61</v>
      </c>
      <c r="F30" s="2">
        <v>0.2</v>
      </c>
      <c r="G30" s="2">
        <v>-0.38</v>
      </c>
      <c r="H30" s="2">
        <v>0.44</v>
      </c>
      <c r="I30" s="2">
        <v>7.0000000000000007E-2</v>
      </c>
      <c r="J30" s="2">
        <v>-80.760000000000005</v>
      </c>
    </row>
    <row r="31" spans="2:10" x14ac:dyDescent="0.2">
      <c r="B31" s="2">
        <v>741.99</v>
      </c>
      <c r="C31" s="2">
        <v>741.98</v>
      </c>
      <c r="D31" s="2">
        <v>0.17</v>
      </c>
      <c r="E31" s="2">
        <v>20.800999999999998</v>
      </c>
      <c r="F31" s="2">
        <v>0.02</v>
      </c>
      <c r="G31" s="2">
        <v>-0.32</v>
      </c>
      <c r="H31" s="2">
        <v>0.46</v>
      </c>
      <c r="I31" s="2">
        <v>-0.01</v>
      </c>
      <c r="J31" s="2">
        <v>5.97</v>
      </c>
    </row>
    <row r="32" spans="2:10" x14ac:dyDescent="0.2">
      <c r="B32" s="2">
        <v>742.79</v>
      </c>
      <c r="C32" s="2">
        <v>742.78</v>
      </c>
      <c r="D32" s="2">
        <v>0.17</v>
      </c>
      <c r="E32" s="2">
        <v>20.97</v>
      </c>
      <c r="F32" s="2">
        <v>0.02</v>
      </c>
      <c r="G32" s="2">
        <v>-0.31</v>
      </c>
      <c r="H32" s="2">
        <v>0.46</v>
      </c>
      <c r="I32" s="2">
        <v>-0.01</v>
      </c>
      <c r="J32" s="2">
        <v>6.32</v>
      </c>
    </row>
    <row r="33" spans="2:10" x14ac:dyDescent="0.2">
      <c r="B33" s="2">
        <v>773.92</v>
      </c>
      <c r="C33" s="2">
        <v>773.91</v>
      </c>
      <c r="D33" s="2">
        <v>0.43</v>
      </c>
      <c r="E33" s="2">
        <v>345.37</v>
      </c>
      <c r="F33" s="2">
        <v>0.3</v>
      </c>
      <c r="G33" s="2">
        <v>-0.16</v>
      </c>
      <c r="H33" s="2">
        <v>0.45</v>
      </c>
      <c r="I33" s="2">
        <v>0.25</v>
      </c>
      <c r="J33" s="2">
        <v>-34.31</v>
      </c>
    </row>
    <row r="34" spans="2:10" x14ac:dyDescent="0.2">
      <c r="B34" s="2">
        <v>802.87</v>
      </c>
      <c r="C34" s="2">
        <v>802.86</v>
      </c>
      <c r="D34" s="2">
        <v>0.83</v>
      </c>
      <c r="E34" s="2">
        <v>75.650000000000006</v>
      </c>
      <c r="F34" s="2">
        <v>0.97</v>
      </c>
      <c r="G34" s="2">
        <v>0</v>
      </c>
      <c r="H34" s="2">
        <v>0.63</v>
      </c>
      <c r="I34" s="2">
        <v>0.41</v>
      </c>
      <c r="J34" s="2">
        <v>93.55</v>
      </c>
    </row>
    <row r="35" spans="2:10" x14ac:dyDescent="0.2">
      <c r="B35" s="2">
        <v>832.04</v>
      </c>
      <c r="C35" s="2">
        <v>832.02</v>
      </c>
      <c r="D35" s="2">
        <v>2.27</v>
      </c>
      <c r="E35" s="2">
        <v>84.68</v>
      </c>
      <c r="F35" s="2">
        <v>1.5</v>
      </c>
      <c r="G35" s="2">
        <v>0.1</v>
      </c>
      <c r="H35" s="2">
        <v>1.41</v>
      </c>
      <c r="I35" s="2">
        <v>1.48</v>
      </c>
      <c r="J35" s="2">
        <v>9.2899999999999991</v>
      </c>
    </row>
    <row r="36" spans="2:10" x14ac:dyDescent="0.2">
      <c r="B36" s="2">
        <v>861.02</v>
      </c>
      <c r="C36" s="2">
        <v>860.96</v>
      </c>
      <c r="D36" s="2">
        <v>3.76</v>
      </c>
      <c r="E36" s="2">
        <v>85.92</v>
      </c>
      <c r="F36" s="2">
        <v>1.54</v>
      </c>
      <c r="G36" s="2">
        <v>0.23</v>
      </c>
      <c r="H36" s="2">
        <v>2.92</v>
      </c>
      <c r="I36" s="2">
        <v>1.54</v>
      </c>
      <c r="J36" s="2">
        <v>1.28</v>
      </c>
    </row>
    <row r="37" spans="2:10" x14ac:dyDescent="0.2">
      <c r="B37" s="2">
        <v>889.93</v>
      </c>
      <c r="C37" s="2">
        <v>889.78</v>
      </c>
      <c r="D37" s="2">
        <v>5.4</v>
      </c>
      <c r="E37" s="2">
        <v>91.13</v>
      </c>
      <c r="F37" s="2">
        <v>1.75</v>
      </c>
      <c r="G37" s="2">
        <v>0.27</v>
      </c>
      <c r="H37" s="2">
        <v>5.23</v>
      </c>
      <c r="I37" s="2">
        <v>1.7</v>
      </c>
      <c r="J37" s="2">
        <v>5.41</v>
      </c>
    </row>
    <row r="38" spans="2:10" x14ac:dyDescent="0.2">
      <c r="B38" s="2">
        <v>918.8</v>
      </c>
      <c r="C38" s="2">
        <v>918.48</v>
      </c>
      <c r="D38" s="2">
        <v>6.92</v>
      </c>
      <c r="E38" s="2">
        <v>90.49</v>
      </c>
      <c r="F38" s="2">
        <v>1.58</v>
      </c>
      <c r="G38" s="2">
        <v>0.22</v>
      </c>
      <c r="H38" s="2">
        <v>8.33</v>
      </c>
      <c r="I38" s="2">
        <v>1.58</v>
      </c>
      <c r="J38" s="2">
        <v>-0.67</v>
      </c>
    </row>
    <row r="39" spans="2:10" x14ac:dyDescent="0.2">
      <c r="B39" s="2">
        <v>947.97</v>
      </c>
      <c r="C39" s="2">
        <v>947.39</v>
      </c>
      <c r="D39" s="2">
        <v>8.24</v>
      </c>
      <c r="E39" s="2">
        <v>90.62</v>
      </c>
      <c r="F39" s="2">
        <v>1.36</v>
      </c>
      <c r="G39" s="2">
        <v>0.19</v>
      </c>
      <c r="H39" s="2">
        <v>12.18</v>
      </c>
      <c r="I39" s="2">
        <v>1.36</v>
      </c>
      <c r="J39" s="2">
        <v>0.13</v>
      </c>
    </row>
    <row r="40" spans="2:10" x14ac:dyDescent="0.2">
      <c r="B40" s="2">
        <v>977.14</v>
      </c>
      <c r="C40" s="2">
        <v>976.21</v>
      </c>
      <c r="D40" s="2">
        <v>9.73</v>
      </c>
      <c r="E40" s="2">
        <v>88.53</v>
      </c>
      <c r="F40" s="2">
        <v>1.57</v>
      </c>
      <c r="G40" s="2">
        <v>0.23</v>
      </c>
      <c r="H40" s="2">
        <v>16.73</v>
      </c>
      <c r="I40" s="2">
        <v>1.53</v>
      </c>
      <c r="J40" s="2">
        <v>-2.15</v>
      </c>
    </row>
    <row r="41" spans="2:10" x14ac:dyDescent="0.2">
      <c r="B41" s="2">
        <v>1006.39</v>
      </c>
      <c r="C41" s="2">
        <v>1004.96</v>
      </c>
      <c r="D41" s="2">
        <v>11.43</v>
      </c>
      <c r="E41" s="2">
        <v>85.67</v>
      </c>
      <c r="F41" s="2">
        <v>1.82</v>
      </c>
      <c r="G41" s="2">
        <v>0.51</v>
      </c>
      <c r="H41" s="2">
        <v>22.09</v>
      </c>
      <c r="I41" s="2">
        <v>1.74</v>
      </c>
      <c r="J41" s="2">
        <v>-2.93</v>
      </c>
    </row>
    <row r="42" spans="2:10" x14ac:dyDescent="0.2">
      <c r="B42" s="2">
        <v>1035.49</v>
      </c>
      <c r="C42" s="2">
        <v>1033.4100000000001</v>
      </c>
      <c r="D42" s="2">
        <v>12.74</v>
      </c>
      <c r="E42" s="2">
        <v>87.2</v>
      </c>
      <c r="F42" s="2">
        <v>1.39</v>
      </c>
      <c r="G42" s="2">
        <v>0.88</v>
      </c>
      <c r="H42" s="2">
        <v>28.17</v>
      </c>
      <c r="I42" s="2">
        <v>1.35</v>
      </c>
      <c r="J42" s="2">
        <v>1.58</v>
      </c>
    </row>
    <row r="43" spans="2:10" x14ac:dyDescent="0.2">
      <c r="B43" s="2">
        <v>1064.6300000000001</v>
      </c>
      <c r="C43" s="2">
        <v>1061.78</v>
      </c>
      <c r="D43" s="2">
        <v>13.7</v>
      </c>
      <c r="E43" s="2">
        <v>89.46</v>
      </c>
      <c r="F43" s="2">
        <v>1.1200000000000001</v>
      </c>
      <c r="G43" s="2">
        <v>1.07</v>
      </c>
      <c r="H43" s="2">
        <v>34.83</v>
      </c>
      <c r="I43" s="2">
        <v>0.99</v>
      </c>
      <c r="J43" s="2">
        <v>2.33</v>
      </c>
    </row>
    <row r="44" spans="2:10" x14ac:dyDescent="0.2">
      <c r="B44" s="2">
        <v>1093.1300000000001</v>
      </c>
      <c r="C44" s="2">
        <v>1089.3800000000001</v>
      </c>
      <c r="D44" s="2">
        <v>15.16</v>
      </c>
      <c r="E44" s="2">
        <v>88.45</v>
      </c>
      <c r="F44" s="2">
        <v>1.56</v>
      </c>
      <c r="G44" s="2">
        <v>1.21</v>
      </c>
      <c r="H44" s="2">
        <v>41.93</v>
      </c>
      <c r="I44" s="2">
        <v>1.54</v>
      </c>
      <c r="J44" s="2">
        <v>-1.06</v>
      </c>
    </row>
    <row r="45" spans="2:10" x14ac:dyDescent="0.2">
      <c r="B45" s="2">
        <v>1122.24</v>
      </c>
      <c r="C45" s="2">
        <v>1117.3800000000001</v>
      </c>
      <c r="D45" s="2">
        <v>16.57</v>
      </c>
      <c r="E45" s="2">
        <v>85.2</v>
      </c>
      <c r="F45" s="2">
        <v>1.72</v>
      </c>
      <c r="G45" s="2">
        <v>1.66</v>
      </c>
      <c r="H45" s="2">
        <v>49.87</v>
      </c>
      <c r="I45" s="2">
        <v>1.45</v>
      </c>
      <c r="J45" s="2">
        <v>-3.35</v>
      </c>
    </row>
    <row r="46" spans="2:10" x14ac:dyDescent="0.2">
      <c r="B46" s="2">
        <v>1145.3499999999999</v>
      </c>
      <c r="C46" s="2">
        <v>1139.49</v>
      </c>
      <c r="D46" s="2">
        <v>17.23</v>
      </c>
      <c r="E46" s="2">
        <v>83.41</v>
      </c>
      <c r="F46" s="2">
        <v>1.0900000000000001</v>
      </c>
      <c r="G46" s="2">
        <v>2.33</v>
      </c>
      <c r="H46" s="2">
        <v>56.56</v>
      </c>
      <c r="I46" s="2">
        <v>0.86</v>
      </c>
      <c r="J46" s="2">
        <v>-2.3199999999999998</v>
      </c>
    </row>
    <row r="47" spans="2:10" x14ac:dyDescent="0.2">
      <c r="B47" s="2">
        <v>1172.51</v>
      </c>
      <c r="C47" s="2">
        <v>1165.43</v>
      </c>
      <c r="D47" s="2">
        <v>17.28</v>
      </c>
      <c r="E47" s="2">
        <v>82.78</v>
      </c>
      <c r="F47" s="2">
        <v>0.21</v>
      </c>
      <c r="G47" s="2">
        <v>3.29</v>
      </c>
      <c r="H47" s="2">
        <v>64.56</v>
      </c>
      <c r="I47" s="2">
        <v>0.06</v>
      </c>
      <c r="J47" s="2">
        <v>-0.7</v>
      </c>
    </row>
    <row r="48" spans="2:10" x14ac:dyDescent="0.2">
      <c r="B48" s="2">
        <v>1208.47</v>
      </c>
      <c r="C48" s="2">
        <v>1199.76</v>
      </c>
      <c r="D48" s="2">
        <v>17.36</v>
      </c>
      <c r="E48" s="2">
        <v>82.56</v>
      </c>
      <c r="F48" s="2">
        <v>0.09</v>
      </c>
      <c r="G48" s="2">
        <v>4.66</v>
      </c>
      <c r="H48" s="2">
        <v>75.17</v>
      </c>
      <c r="I48" s="2">
        <v>7.0000000000000007E-2</v>
      </c>
      <c r="J48" s="2">
        <v>-0.18</v>
      </c>
    </row>
    <row r="49" spans="2:10" x14ac:dyDescent="0.2">
      <c r="B49" s="2">
        <v>1237.04</v>
      </c>
      <c r="C49" s="2">
        <v>1227.06</v>
      </c>
      <c r="D49" s="2">
        <v>16.96</v>
      </c>
      <c r="E49" s="2">
        <v>82.23</v>
      </c>
      <c r="F49" s="2">
        <v>0.43</v>
      </c>
      <c r="G49" s="2">
        <v>5.78</v>
      </c>
      <c r="H49" s="2">
        <v>83.53</v>
      </c>
      <c r="I49" s="2">
        <v>-0.42</v>
      </c>
      <c r="J49" s="2">
        <v>-0.35</v>
      </c>
    </row>
    <row r="50" spans="2:10" x14ac:dyDescent="0.2">
      <c r="B50" s="2">
        <v>1265.5899999999999</v>
      </c>
      <c r="C50" s="2">
        <v>1254.46</v>
      </c>
      <c r="D50" s="2">
        <v>15.71</v>
      </c>
      <c r="E50" s="2">
        <v>81.42</v>
      </c>
      <c r="F50" s="2">
        <v>1.34</v>
      </c>
      <c r="G50" s="2">
        <v>6.91</v>
      </c>
      <c r="H50" s="2">
        <v>91.48</v>
      </c>
      <c r="I50" s="2">
        <v>-1.31</v>
      </c>
      <c r="J50" s="2">
        <v>-0.85</v>
      </c>
    </row>
    <row r="51" spans="2:10" x14ac:dyDescent="0.2">
      <c r="B51" s="2">
        <v>1294.4100000000001</v>
      </c>
      <c r="C51" s="2">
        <v>1282.3699999999999</v>
      </c>
      <c r="D51" s="2">
        <v>13.1</v>
      </c>
      <c r="E51" s="2">
        <v>80.59</v>
      </c>
      <c r="F51" s="2">
        <v>2.73</v>
      </c>
      <c r="G51" s="2">
        <v>8.0299999999999994</v>
      </c>
      <c r="H51" s="2">
        <v>98.56</v>
      </c>
      <c r="I51" s="2">
        <v>-2.72</v>
      </c>
      <c r="J51" s="2">
        <v>-0.86</v>
      </c>
    </row>
    <row r="52" spans="2:10" x14ac:dyDescent="0.2">
      <c r="B52" s="2">
        <v>1323.3</v>
      </c>
      <c r="C52" s="2">
        <v>1310.51</v>
      </c>
      <c r="D52" s="2">
        <v>13.02</v>
      </c>
      <c r="E52" s="2">
        <v>80.42</v>
      </c>
      <c r="F52" s="2">
        <v>0.09</v>
      </c>
      <c r="G52" s="2">
        <v>9.11</v>
      </c>
      <c r="H52" s="2">
        <v>105</v>
      </c>
      <c r="I52" s="2">
        <v>-0.08</v>
      </c>
      <c r="J52" s="2">
        <v>-0.18</v>
      </c>
    </row>
    <row r="53" spans="2:10" x14ac:dyDescent="0.2">
      <c r="B53" s="2">
        <v>1352.3</v>
      </c>
      <c r="C53" s="2">
        <v>1338.8</v>
      </c>
      <c r="D53" s="2">
        <v>12.29</v>
      </c>
      <c r="E53" s="2">
        <v>80.61</v>
      </c>
      <c r="F53" s="2">
        <v>0.76</v>
      </c>
      <c r="G53" s="2">
        <v>10.16</v>
      </c>
      <c r="H53" s="2">
        <v>111.26</v>
      </c>
      <c r="I53" s="2">
        <v>-0.76</v>
      </c>
      <c r="J53" s="2">
        <v>0.2</v>
      </c>
    </row>
    <row r="54" spans="2:10" x14ac:dyDescent="0.2">
      <c r="B54" s="2">
        <v>1383.17</v>
      </c>
      <c r="C54" s="2">
        <v>1368.98</v>
      </c>
      <c r="D54" s="2">
        <v>12.07</v>
      </c>
      <c r="E54" s="2">
        <v>80.48</v>
      </c>
      <c r="F54" s="2">
        <v>0.22</v>
      </c>
      <c r="G54" s="2">
        <v>11.23</v>
      </c>
      <c r="H54" s="2">
        <v>117.69</v>
      </c>
      <c r="I54" s="2">
        <v>-0.21</v>
      </c>
      <c r="J54" s="2">
        <v>-0.13</v>
      </c>
    </row>
    <row r="55" spans="2:10" x14ac:dyDescent="0.2">
      <c r="B55" s="2">
        <v>1411.42</v>
      </c>
      <c r="C55" s="2">
        <v>1396.63</v>
      </c>
      <c r="D55" s="2">
        <v>11.59</v>
      </c>
      <c r="E55" s="2">
        <v>80.150000000000006</v>
      </c>
      <c r="F55" s="2">
        <v>0.51</v>
      </c>
      <c r="G55" s="2">
        <v>12.2</v>
      </c>
      <c r="H55" s="2">
        <v>123.4</v>
      </c>
      <c r="I55" s="2">
        <v>-0.51</v>
      </c>
      <c r="J55" s="2">
        <v>-0.35</v>
      </c>
    </row>
    <row r="56" spans="2:10" x14ac:dyDescent="0.2">
      <c r="B56" s="2">
        <v>1440.24</v>
      </c>
      <c r="C56" s="2">
        <v>1424.85</v>
      </c>
      <c r="D56" s="2">
        <v>11.9</v>
      </c>
      <c r="E56" s="2">
        <v>84.33</v>
      </c>
      <c r="F56" s="2">
        <v>0.94</v>
      </c>
      <c r="G56" s="2">
        <v>12.99</v>
      </c>
      <c r="H56" s="2">
        <v>129.21</v>
      </c>
      <c r="I56" s="2">
        <v>0.32</v>
      </c>
      <c r="J56" s="2">
        <v>4.3499999999999996</v>
      </c>
    </row>
    <row r="57" spans="2:10" x14ac:dyDescent="0.2">
      <c r="B57" s="2">
        <v>1469.04</v>
      </c>
      <c r="C57" s="2">
        <v>1453.05</v>
      </c>
      <c r="D57" s="2">
        <v>11.4</v>
      </c>
      <c r="E57" s="2">
        <v>85.38</v>
      </c>
      <c r="F57" s="2">
        <v>0.56999999999999995</v>
      </c>
      <c r="G57" s="2">
        <v>13.51</v>
      </c>
      <c r="H57" s="2">
        <v>135</v>
      </c>
      <c r="I57" s="2">
        <v>-0.52</v>
      </c>
      <c r="J57" s="2">
        <v>1.0900000000000001</v>
      </c>
    </row>
    <row r="58" spans="2:10" x14ac:dyDescent="0.2">
      <c r="B58" s="2">
        <v>1498.03</v>
      </c>
      <c r="C58" s="2">
        <v>1481.5</v>
      </c>
      <c r="D58" s="2">
        <v>10.76</v>
      </c>
      <c r="E58" s="2">
        <v>84.52</v>
      </c>
      <c r="F58" s="2">
        <v>0.68</v>
      </c>
      <c r="G58" s="2">
        <v>14</v>
      </c>
      <c r="H58" s="2">
        <v>140.55000000000001</v>
      </c>
      <c r="I58" s="2">
        <v>-0.66</v>
      </c>
      <c r="J58" s="2">
        <v>-0.89</v>
      </c>
    </row>
    <row r="59" spans="2:10" x14ac:dyDescent="0.2">
      <c r="B59" s="2">
        <v>1526.89</v>
      </c>
      <c r="C59" s="2">
        <v>1509.88</v>
      </c>
      <c r="D59" s="2">
        <v>10.29</v>
      </c>
      <c r="E59" s="2">
        <v>84.56</v>
      </c>
      <c r="F59" s="2">
        <v>0.49</v>
      </c>
      <c r="G59" s="2">
        <v>14.5</v>
      </c>
      <c r="H59" s="2">
        <v>145.80000000000001</v>
      </c>
      <c r="I59" s="2">
        <v>-0.49</v>
      </c>
      <c r="J59" s="2">
        <v>0.04</v>
      </c>
    </row>
    <row r="60" spans="2:10" x14ac:dyDescent="0.2">
      <c r="B60" s="2">
        <v>1555.84</v>
      </c>
      <c r="C60" s="2">
        <v>1538.39</v>
      </c>
      <c r="D60" s="2">
        <v>9.61</v>
      </c>
      <c r="E60" s="2">
        <v>84.35</v>
      </c>
      <c r="F60" s="2">
        <v>0.71</v>
      </c>
      <c r="G60" s="2">
        <v>14.98</v>
      </c>
      <c r="H60" s="2">
        <v>150.77000000000001</v>
      </c>
      <c r="I60" s="2">
        <v>-0.7</v>
      </c>
      <c r="J60" s="2">
        <v>-0.22</v>
      </c>
    </row>
    <row r="61" spans="2:10" x14ac:dyDescent="0.2">
      <c r="B61" s="2">
        <v>1584.66</v>
      </c>
      <c r="C61" s="2">
        <v>1566.82</v>
      </c>
      <c r="D61" s="2">
        <v>9.43</v>
      </c>
      <c r="E61" s="2">
        <v>83.73</v>
      </c>
      <c r="F61" s="2">
        <v>0.22</v>
      </c>
      <c r="G61" s="2">
        <v>15.48</v>
      </c>
      <c r="H61" s="2">
        <v>155.52000000000001</v>
      </c>
      <c r="I61" s="2">
        <v>-0.19</v>
      </c>
      <c r="J61" s="2">
        <v>-0.65</v>
      </c>
    </row>
    <row r="62" spans="2:10" x14ac:dyDescent="0.2">
      <c r="B62" s="2">
        <v>1613.51</v>
      </c>
      <c r="C62" s="2">
        <v>1595.28</v>
      </c>
      <c r="D62" s="2">
        <v>9.27</v>
      </c>
      <c r="E62" s="2">
        <v>83.18</v>
      </c>
      <c r="F62" s="2">
        <v>0.19</v>
      </c>
      <c r="G62" s="2">
        <v>16.010000000000002</v>
      </c>
      <c r="H62" s="2">
        <v>160.16999999999999</v>
      </c>
      <c r="I62" s="2">
        <v>-0.17</v>
      </c>
      <c r="J62" s="2">
        <v>-0.56999999999999995</v>
      </c>
    </row>
    <row r="63" spans="2:10" x14ac:dyDescent="0.2">
      <c r="B63" s="2">
        <v>1642.6</v>
      </c>
      <c r="C63" s="2">
        <v>1624</v>
      </c>
      <c r="D63" s="2">
        <v>9.01</v>
      </c>
      <c r="E63" s="2">
        <v>82.65</v>
      </c>
      <c r="F63" s="2">
        <v>0.28000000000000003</v>
      </c>
      <c r="G63" s="2">
        <v>16.579999999999998</v>
      </c>
      <c r="H63" s="2">
        <v>164.76</v>
      </c>
      <c r="I63" s="2">
        <v>-0.27</v>
      </c>
      <c r="J63" s="2">
        <v>-0.55000000000000004</v>
      </c>
    </row>
    <row r="64" spans="2:10" x14ac:dyDescent="0.2">
      <c r="B64" s="2">
        <v>1671.77</v>
      </c>
      <c r="C64" s="2">
        <v>1652.83</v>
      </c>
      <c r="D64" s="2">
        <v>8.6300000000000008</v>
      </c>
      <c r="E64" s="2">
        <v>82.77</v>
      </c>
      <c r="F64" s="2">
        <v>0.39</v>
      </c>
      <c r="G64" s="2">
        <v>17.149999999999999</v>
      </c>
      <c r="H64" s="2">
        <v>169.19</v>
      </c>
      <c r="I64" s="2">
        <v>-0.39</v>
      </c>
      <c r="J64" s="2">
        <v>0.12</v>
      </c>
    </row>
    <row r="65" spans="2:10" x14ac:dyDescent="0.2">
      <c r="B65" s="2">
        <v>1701.09</v>
      </c>
      <c r="C65" s="2">
        <v>1681.87</v>
      </c>
      <c r="D65" s="2">
        <v>7.16</v>
      </c>
      <c r="E65" s="2">
        <v>83.74</v>
      </c>
      <c r="F65" s="2">
        <v>1.51</v>
      </c>
      <c r="G65" s="2">
        <v>17.63</v>
      </c>
      <c r="H65" s="2">
        <v>173.19</v>
      </c>
      <c r="I65" s="2">
        <v>-1.5</v>
      </c>
      <c r="J65" s="2">
        <v>0.99</v>
      </c>
    </row>
    <row r="66" spans="2:10" x14ac:dyDescent="0.2">
      <c r="B66" s="2">
        <v>1718.33</v>
      </c>
      <c r="C66" s="2">
        <v>1698.98</v>
      </c>
      <c r="D66" s="2">
        <v>7.0039999999999996</v>
      </c>
      <c r="E66" s="2">
        <v>83.733999999999995</v>
      </c>
      <c r="F66" s="2">
        <v>0.27</v>
      </c>
      <c r="G66" s="2">
        <v>17.86</v>
      </c>
      <c r="H66" s="2">
        <v>175.31</v>
      </c>
      <c r="I66" s="2">
        <v>-0.27</v>
      </c>
      <c r="J66" s="2">
        <v>-0.01</v>
      </c>
    </row>
    <row r="67" spans="2:10" x14ac:dyDescent="0.2">
      <c r="B67" s="2">
        <v>1729.79</v>
      </c>
      <c r="C67" s="2">
        <v>1710.35</v>
      </c>
      <c r="D67" s="2">
        <v>6.9</v>
      </c>
      <c r="E67" s="2">
        <v>83.73</v>
      </c>
      <c r="F67" s="2">
        <v>0.27</v>
      </c>
      <c r="G67" s="2">
        <v>18.010000000000002</v>
      </c>
      <c r="H67" s="2">
        <v>176.68</v>
      </c>
      <c r="I67" s="2">
        <v>-0.27</v>
      </c>
      <c r="J67" s="2">
        <v>-0.01</v>
      </c>
    </row>
    <row r="68" spans="2:10" x14ac:dyDescent="0.2">
      <c r="B68" s="2">
        <v>1758.54</v>
      </c>
      <c r="C68" s="2">
        <v>1738.94</v>
      </c>
      <c r="D68" s="2">
        <v>5.28</v>
      </c>
      <c r="E68" s="2">
        <v>89.46</v>
      </c>
      <c r="F68" s="2">
        <v>1.8</v>
      </c>
      <c r="G68" s="2">
        <v>18.21</v>
      </c>
      <c r="H68" s="2">
        <v>179.72</v>
      </c>
      <c r="I68" s="2">
        <v>-1.69</v>
      </c>
      <c r="J68" s="2">
        <v>5.98</v>
      </c>
    </row>
    <row r="69" spans="2:10" x14ac:dyDescent="0.2">
      <c r="B69" s="2">
        <v>1787.03</v>
      </c>
      <c r="C69" s="2">
        <v>1767.34</v>
      </c>
      <c r="D69" s="2">
        <v>3.85</v>
      </c>
      <c r="E69" s="2">
        <v>99.71</v>
      </c>
      <c r="F69" s="2">
        <v>1.73</v>
      </c>
      <c r="G69" s="2">
        <v>18.059999999999999</v>
      </c>
      <c r="H69" s="2">
        <v>181.98</v>
      </c>
      <c r="I69" s="2">
        <v>-1.51</v>
      </c>
      <c r="J69" s="2">
        <v>10.79</v>
      </c>
    </row>
    <row r="70" spans="2:10" x14ac:dyDescent="0.2">
      <c r="B70" s="2">
        <v>1815.88</v>
      </c>
      <c r="C70" s="2">
        <v>1796.12</v>
      </c>
      <c r="D70" s="2">
        <v>3.88</v>
      </c>
      <c r="E70" s="2">
        <v>98.52</v>
      </c>
      <c r="F70" s="2">
        <v>0.09</v>
      </c>
      <c r="G70" s="2">
        <v>17.75</v>
      </c>
      <c r="H70" s="2">
        <v>183.9</v>
      </c>
      <c r="I70" s="2">
        <v>0.03</v>
      </c>
      <c r="J70" s="2">
        <v>-1.24</v>
      </c>
    </row>
    <row r="71" spans="2:10" x14ac:dyDescent="0.2">
      <c r="B71" s="2">
        <v>1823.75</v>
      </c>
      <c r="C71" s="2">
        <v>1803.98</v>
      </c>
      <c r="D71" s="2">
        <v>3.806</v>
      </c>
      <c r="E71" s="2">
        <v>98.42</v>
      </c>
      <c r="F71" s="2">
        <v>0.28000000000000003</v>
      </c>
      <c r="G71" s="2">
        <v>17.68</v>
      </c>
      <c r="H71" s="2">
        <v>184.42</v>
      </c>
      <c r="I71" s="2">
        <v>-0.28000000000000003</v>
      </c>
      <c r="J71" s="2">
        <v>-0.38</v>
      </c>
    </row>
    <row r="72" spans="2:10" x14ac:dyDescent="0.2">
      <c r="B72" s="2">
        <v>1835.01</v>
      </c>
      <c r="C72" s="2">
        <v>1815.21</v>
      </c>
      <c r="D72" s="2">
        <v>3.7</v>
      </c>
      <c r="E72" s="2">
        <v>98.27</v>
      </c>
      <c r="F72" s="2">
        <v>0.28000000000000003</v>
      </c>
      <c r="G72" s="2">
        <v>17.57</v>
      </c>
      <c r="H72" s="2">
        <v>185.15</v>
      </c>
      <c r="I72" s="2">
        <v>-0.28000000000000003</v>
      </c>
      <c r="J72" s="2">
        <v>-0.4</v>
      </c>
    </row>
    <row r="73" spans="2:10" x14ac:dyDescent="0.2">
      <c r="B73" s="2">
        <v>1851</v>
      </c>
      <c r="C73" s="2">
        <v>1831.17</v>
      </c>
      <c r="D73" s="2">
        <v>3.7</v>
      </c>
      <c r="E73" s="2">
        <v>98.27</v>
      </c>
      <c r="F73" s="2">
        <v>0</v>
      </c>
      <c r="G73" s="2">
        <v>17.420000000000002</v>
      </c>
      <c r="H73" s="2">
        <v>186.17</v>
      </c>
      <c r="I73" s="2">
        <v>0</v>
      </c>
      <c r="J73" s="2">
        <v>0</v>
      </c>
    </row>
    <row r="74" spans="2:10" x14ac:dyDescent="0.2">
      <c r="B74" s="2">
        <v>1865.01</v>
      </c>
      <c r="C74" s="2">
        <v>1845.15</v>
      </c>
      <c r="D74" s="2">
        <v>3.7</v>
      </c>
      <c r="E74" s="2">
        <v>98.27</v>
      </c>
      <c r="F74" s="2">
        <v>0</v>
      </c>
      <c r="G74" s="2">
        <v>17.29</v>
      </c>
      <c r="H74" s="2">
        <v>187.06</v>
      </c>
      <c r="I74" s="2">
        <v>0</v>
      </c>
      <c r="J74" s="2">
        <v>0</v>
      </c>
    </row>
    <row r="75" spans="2:10" x14ac:dyDescent="0.2">
      <c r="B75" s="2">
        <v>1891</v>
      </c>
      <c r="C75" s="2">
        <v>1871.09</v>
      </c>
      <c r="D75" s="2">
        <v>3.7</v>
      </c>
      <c r="E75" s="2">
        <v>98.27</v>
      </c>
      <c r="F75" s="2">
        <v>0</v>
      </c>
      <c r="G75" s="2">
        <v>17.05</v>
      </c>
      <c r="H75" s="2">
        <v>188.72</v>
      </c>
      <c r="I75" s="2">
        <v>0</v>
      </c>
      <c r="J75" s="2">
        <v>0</v>
      </c>
    </row>
    <row r="76" spans="2:10" x14ac:dyDescent="0.2">
      <c r="B76" s="2">
        <v>1895.01</v>
      </c>
      <c r="C76" s="2">
        <v>1875.09</v>
      </c>
      <c r="D76" s="2">
        <v>3.5659999999999998</v>
      </c>
      <c r="E76" s="2">
        <v>98.27</v>
      </c>
      <c r="F76" s="2">
        <v>1</v>
      </c>
      <c r="G76" s="2">
        <v>17.010000000000002</v>
      </c>
      <c r="H76" s="2">
        <v>188.98</v>
      </c>
      <c r="I76" s="2">
        <v>-1</v>
      </c>
      <c r="J76" s="2">
        <v>0</v>
      </c>
    </row>
    <row r="77" spans="2:10" x14ac:dyDescent="0.2">
      <c r="B77" s="2">
        <v>1925.01</v>
      </c>
      <c r="C77" s="2">
        <v>1905.04</v>
      </c>
      <c r="D77" s="2">
        <v>2.5659999999999998</v>
      </c>
      <c r="E77" s="2">
        <v>98.27</v>
      </c>
      <c r="F77" s="2">
        <v>1</v>
      </c>
      <c r="G77" s="2">
        <v>16.78</v>
      </c>
      <c r="H77" s="2">
        <v>190.56</v>
      </c>
      <c r="I77" s="2">
        <v>-1</v>
      </c>
      <c r="J77" s="2">
        <v>0</v>
      </c>
    </row>
    <row r="78" spans="2:10" x14ac:dyDescent="0.2">
      <c r="B78" s="2">
        <v>1955.01</v>
      </c>
      <c r="C78" s="2">
        <v>1935.02</v>
      </c>
      <c r="D78" s="2">
        <v>1.5660000000000001</v>
      </c>
      <c r="E78" s="2">
        <v>98.27</v>
      </c>
      <c r="F78" s="2">
        <v>1</v>
      </c>
      <c r="G78" s="2">
        <v>16.63</v>
      </c>
      <c r="H78" s="2">
        <v>191.63</v>
      </c>
      <c r="I78" s="2">
        <v>-1</v>
      </c>
      <c r="J78" s="2">
        <v>0</v>
      </c>
    </row>
    <row r="79" spans="2:10" x14ac:dyDescent="0.2">
      <c r="B79" s="2">
        <v>1985.01</v>
      </c>
      <c r="C79" s="2">
        <v>1965.02</v>
      </c>
      <c r="D79" s="2">
        <v>0.56599999999999995</v>
      </c>
      <c r="E79" s="2">
        <v>98.27</v>
      </c>
      <c r="F79" s="2">
        <v>1</v>
      </c>
      <c r="G79" s="2">
        <v>16.55</v>
      </c>
      <c r="H79" s="2">
        <v>192.19</v>
      </c>
      <c r="I79" s="2">
        <v>-1</v>
      </c>
      <c r="J79" s="2">
        <v>0</v>
      </c>
    </row>
    <row r="80" spans="2:10" x14ac:dyDescent="0.2">
      <c r="B80" s="2">
        <v>2002</v>
      </c>
      <c r="C80" s="2">
        <v>1982.01</v>
      </c>
      <c r="D80" s="2">
        <v>0</v>
      </c>
      <c r="E80" s="2">
        <v>359.084</v>
      </c>
      <c r="F80" s="2">
        <v>1</v>
      </c>
      <c r="G80" s="2">
        <v>16.53</v>
      </c>
      <c r="H80" s="2">
        <v>192.27</v>
      </c>
      <c r="I80" s="2">
        <v>-1</v>
      </c>
      <c r="J80" s="2">
        <v>0</v>
      </c>
    </row>
    <row r="81" spans="2:10" x14ac:dyDescent="0.2">
      <c r="B81" s="2">
        <v>2015.01</v>
      </c>
      <c r="C81" s="2">
        <v>1995.02</v>
      </c>
      <c r="D81" s="2">
        <v>0</v>
      </c>
      <c r="E81" s="2">
        <v>359.084</v>
      </c>
      <c r="F81" s="2">
        <v>0</v>
      </c>
      <c r="G81" s="2">
        <v>16.53</v>
      </c>
      <c r="H81" s="2">
        <v>192.27</v>
      </c>
      <c r="I81" s="2">
        <v>0</v>
      </c>
      <c r="J81" s="2">
        <v>0</v>
      </c>
    </row>
    <row r="82" spans="2:10" x14ac:dyDescent="0.2">
      <c r="B82" s="2">
        <v>2045.01</v>
      </c>
      <c r="C82" s="2">
        <v>2025.02</v>
      </c>
      <c r="D82" s="2">
        <v>0</v>
      </c>
      <c r="E82" s="2">
        <v>359.084</v>
      </c>
      <c r="F82" s="2">
        <v>0</v>
      </c>
      <c r="G82" s="2">
        <v>16.53</v>
      </c>
      <c r="H82" s="2">
        <v>192.27</v>
      </c>
      <c r="I82" s="2">
        <v>0</v>
      </c>
      <c r="J82" s="2">
        <v>0</v>
      </c>
    </row>
    <row r="83" spans="2:10" x14ac:dyDescent="0.2">
      <c r="B83" s="2">
        <v>2075.0100000000002</v>
      </c>
      <c r="C83" s="2">
        <v>2055.02</v>
      </c>
      <c r="D83" s="2">
        <v>0</v>
      </c>
      <c r="E83" s="2">
        <v>359.084</v>
      </c>
      <c r="F83" s="2">
        <v>0</v>
      </c>
      <c r="G83" s="2">
        <v>16.53</v>
      </c>
      <c r="H83" s="2">
        <v>192.27</v>
      </c>
      <c r="I83" s="2">
        <v>0</v>
      </c>
      <c r="J83" s="2">
        <v>0</v>
      </c>
    </row>
    <row r="84" spans="2:10" x14ac:dyDescent="0.2">
      <c r="B84" s="2">
        <v>2105.0100000000002</v>
      </c>
      <c r="C84" s="2">
        <v>2085.02</v>
      </c>
      <c r="D84" s="2">
        <v>0</v>
      </c>
      <c r="E84" s="2">
        <v>359.084</v>
      </c>
      <c r="F84" s="2">
        <v>0</v>
      </c>
      <c r="G84" s="2">
        <v>16.53</v>
      </c>
      <c r="H84" s="2">
        <v>192.27</v>
      </c>
      <c r="I84" s="2">
        <v>0</v>
      </c>
      <c r="J84" s="2">
        <v>0</v>
      </c>
    </row>
    <row r="85" spans="2:10" x14ac:dyDescent="0.2">
      <c r="B85" s="2">
        <v>2135.0100000000002</v>
      </c>
      <c r="C85" s="2">
        <v>2115.02</v>
      </c>
      <c r="D85" s="2">
        <v>0</v>
      </c>
      <c r="E85" s="2">
        <v>359.084</v>
      </c>
      <c r="F85" s="2">
        <v>0</v>
      </c>
      <c r="G85" s="2">
        <v>16.53</v>
      </c>
      <c r="H85" s="2">
        <v>192.27</v>
      </c>
      <c r="I85" s="2">
        <v>0</v>
      </c>
      <c r="J85" s="2">
        <v>0</v>
      </c>
    </row>
    <row r="86" spans="2:10" x14ac:dyDescent="0.2">
      <c r="B86" s="2">
        <v>2165.0100000000002</v>
      </c>
      <c r="C86" s="2">
        <v>2145.02</v>
      </c>
      <c r="D86" s="2">
        <v>0</v>
      </c>
      <c r="E86" s="2">
        <v>359.084</v>
      </c>
      <c r="F86" s="2">
        <v>0</v>
      </c>
      <c r="G86" s="2">
        <v>16.53</v>
      </c>
      <c r="H86" s="2">
        <v>192.27</v>
      </c>
      <c r="I86" s="2">
        <v>0</v>
      </c>
      <c r="J86" s="2">
        <v>0</v>
      </c>
    </row>
    <row r="87" spans="2:10" x14ac:dyDescent="0.2">
      <c r="B87" s="2">
        <v>2175.9699999999998</v>
      </c>
      <c r="C87" s="2">
        <v>2155.98</v>
      </c>
      <c r="D87" s="2">
        <v>0</v>
      </c>
      <c r="E87" s="2">
        <v>359.084</v>
      </c>
      <c r="F87" s="2">
        <v>0</v>
      </c>
      <c r="G87" s="2">
        <v>16.53</v>
      </c>
      <c r="H87" s="2">
        <v>192.27</v>
      </c>
      <c r="I87" s="2">
        <v>0</v>
      </c>
      <c r="J87" s="2">
        <v>0</v>
      </c>
    </row>
    <row r="88" spans="2:10" x14ac:dyDescent="0.2">
      <c r="B88" s="2">
        <v>2195.0100000000002</v>
      </c>
      <c r="C88" s="2">
        <v>2175.02</v>
      </c>
      <c r="D88" s="2">
        <v>0</v>
      </c>
      <c r="E88" s="2">
        <v>359.084</v>
      </c>
      <c r="F88" s="2">
        <v>0</v>
      </c>
      <c r="G88" s="2">
        <v>16.53</v>
      </c>
      <c r="H88" s="2">
        <v>192.27</v>
      </c>
      <c r="I88" s="2">
        <v>0</v>
      </c>
      <c r="J88" s="2">
        <v>0</v>
      </c>
    </row>
    <row r="89" spans="2:10" x14ac:dyDescent="0.2">
      <c r="B89" s="2">
        <v>2225.0100000000002</v>
      </c>
      <c r="C89" s="2">
        <v>2205.02</v>
      </c>
      <c r="D89" s="2">
        <v>0</v>
      </c>
      <c r="E89" s="2">
        <v>359.084</v>
      </c>
      <c r="F89" s="2">
        <v>0</v>
      </c>
      <c r="G89" s="2">
        <v>16.53</v>
      </c>
      <c r="H89" s="2">
        <v>192.27</v>
      </c>
      <c r="I89" s="2">
        <v>0</v>
      </c>
      <c r="J89" s="2">
        <v>0</v>
      </c>
    </row>
    <row r="90" spans="2:10" x14ac:dyDescent="0.2">
      <c r="B90" s="2">
        <v>2255.0100000000002</v>
      </c>
      <c r="C90" s="2">
        <v>2235.02</v>
      </c>
      <c r="D90" s="2">
        <v>0</v>
      </c>
      <c r="E90" s="2">
        <v>359.084</v>
      </c>
      <c r="F90" s="2">
        <v>0</v>
      </c>
      <c r="G90" s="2">
        <v>16.53</v>
      </c>
      <c r="H90" s="2">
        <v>192.27</v>
      </c>
      <c r="I90" s="2">
        <v>0</v>
      </c>
      <c r="J90" s="2">
        <v>0</v>
      </c>
    </row>
    <row r="91" spans="2:10" x14ac:dyDescent="0.2">
      <c r="B91" s="2">
        <v>2285.0100000000002</v>
      </c>
      <c r="C91" s="2">
        <v>2265.02</v>
      </c>
      <c r="D91" s="2">
        <v>0</v>
      </c>
      <c r="E91" s="2">
        <v>359.084</v>
      </c>
      <c r="F91" s="2">
        <v>0</v>
      </c>
      <c r="G91" s="2">
        <v>16.53</v>
      </c>
      <c r="H91" s="2">
        <v>192.27</v>
      </c>
      <c r="I91" s="2">
        <v>0</v>
      </c>
      <c r="J91" s="2">
        <v>0</v>
      </c>
    </row>
    <row r="92" spans="2:10" x14ac:dyDescent="0.2">
      <c r="B92" s="2">
        <v>2315.0100000000002</v>
      </c>
      <c r="C92" s="2">
        <v>2295.02</v>
      </c>
      <c r="D92" s="2">
        <v>0</v>
      </c>
      <c r="E92" s="2">
        <v>359.084</v>
      </c>
      <c r="F92" s="2">
        <v>0</v>
      </c>
      <c r="G92" s="2">
        <v>16.53</v>
      </c>
      <c r="H92" s="2">
        <v>192.27</v>
      </c>
      <c r="I92" s="2">
        <v>0</v>
      </c>
      <c r="J92" s="2">
        <v>0</v>
      </c>
    </row>
    <row r="93" spans="2:10" x14ac:dyDescent="0.2">
      <c r="B93" s="2">
        <v>2345.0100000000002</v>
      </c>
      <c r="C93" s="2">
        <v>2325.02</v>
      </c>
      <c r="D93" s="2">
        <v>0</v>
      </c>
      <c r="E93" s="2">
        <v>359.084</v>
      </c>
      <c r="F93" s="2">
        <v>0</v>
      </c>
      <c r="G93" s="2">
        <v>16.53</v>
      </c>
      <c r="H93" s="2">
        <v>192.27</v>
      </c>
      <c r="I93" s="2">
        <v>0</v>
      </c>
      <c r="J93" s="2">
        <v>0</v>
      </c>
    </row>
    <row r="94" spans="2:10" x14ac:dyDescent="0.2">
      <c r="B94" s="2">
        <v>2375.0100000000002</v>
      </c>
      <c r="C94" s="2">
        <v>2355.02</v>
      </c>
      <c r="D94" s="2">
        <v>0</v>
      </c>
      <c r="E94" s="2">
        <v>359.084</v>
      </c>
      <c r="F94" s="2">
        <v>0</v>
      </c>
      <c r="G94" s="2">
        <v>16.53</v>
      </c>
      <c r="H94" s="2">
        <v>192.27</v>
      </c>
      <c r="I94" s="2">
        <v>0</v>
      </c>
      <c r="J94" s="2">
        <v>0</v>
      </c>
    </row>
    <row r="95" spans="2:10" x14ac:dyDescent="0.2">
      <c r="B95" s="2">
        <v>2405.0100000000002</v>
      </c>
      <c r="C95" s="2">
        <v>2385.02</v>
      </c>
      <c r="D95" s="2">
        <v>0</v>
      </c>
      <c r="E95" s="2">
        <v>359.084</v>
      </c>
      <c r="F95" s="2">
        <v>0</v>
      </c>
      <c r="G95" s="2">
        <v>16.53</v>
      </c>
      <c r="H95" s="2">
        <v>192.27</v>
      </c>
      <c r="I95" s="2">
        <v>0</v>
      </c>
      <c r="J95" s="2">
        <v>0</v>
      </c>
    </row>
    <row r="96" spans="2:10" x14ac:dyDescent="0.2">
      <c r="B96" s="2">
        <v>2435.0100000000002</v>
      </c>
      <c r="C96" s="2">
        <v>2415.02</v>
      </c>
      <c r="D96" s="2">
        <v>0</v>
      </c>
      <c r="E96" s="2">
        <v>359.084</v>
      </c>
      <c r="F96" s="2">
        <v>0</v>
      </c>
      <c r="G96" s="2">
        <v>16.53</v>
      </c>
      <c r="H96" s="2">
        <v>192.27</v>
      </c>
      <c r="I96" s="2">
        <v>0</v>
      </c>
      <c r="J96" s="2">
        <v>0</v>
      </c>
    </row>
    <row r="97" spans="2:10" x14ac:dyDescent="0.2">
      <c r="B97" s="2">
        <v>2465.0100000000002</v>
      </c>
      <c r="C97" s="2">
        <v>2445.02</v>
      </c>
      <c r="D97" s="2">
        <v>0</v>
      </c>
      <c r="E97" s="2">
        <v>359.084</v>
      </c>
      <c r="F97" s="2">
        <v>0</v>
      </c>
      <c r="G97" s="2">
        <v>16.53</v>
      </c>
      <c r="H97" s="2">
        <v>192.27</v>
      </c>
      <c r="I97" s="2">
        <v>0</v>
      </c>
      <c r="J97" s="2">
        <v>0</v>
      </c>
    </row>
    <row r="98" spans="2:10" x14ac:dyDescent="0.2">
      <c r="B98" s="2">
        <v>2465.9699999999998</v>
      </c>
      <c r="C98" s="2">
        <v>2445.98</v>
      </c>
      <c r="D98" s="2">
        <v>0</v>
      </c>
      <c r="E98" s="2">
        <v>359.084</v>
      </c>
      <c r="F98" s="2">
        <v>0</v>
      </c>
      <c r="G98" s="2">
        <v>16.53</v>
      </c>
      <c r="H98" s="2">
        <v>192.27</v>
      </c>
      <c r="I98" s="2">
        <v>0</v>
      </c>
      <c r="J98" s="2">
        <v>0</v>
      </c>
    </row>
    <row r="99" spans="2:10" x14ac:dyDescent="0.2">
      <c r="B99" s="2">
        <v>2495.0100000000002</v>
      </c>
      <c r="C99" s="2">
        <v>2475.02</v>
      </c>
      <c r="D99" s="2">
        <v>0</v>
      </c>
      <c r="E99" s="2">
        <v>359.084</v>
      </c>
      <c r="F99" s="2">
        <v>0</v>
      </c>
      <c r="G99" s="2">
        <v>16.53</v>
      </c>
      <c r="H99" s="2">
        <v>192.27</v>
      </c>
      <c r="I99" s="2">
        <v>0</v>
      </c>
      <c r="J99" s="2">
        <v>0</v>
      </c>
    </row>
    <row r="100" spans="2:10" x14ac:dyDescent="0.2">
      <c r="B100" s="2">
        <v>2525.0100000000002</v>
      </c>
      <c r="C100" s="2">
        <v>2505.02</v>
      </c>
      <c r="D100" s="2">
        <v>0</v>
      </c>
      <c r="E100" s="2">
        <v>359.084</v>
      </c>
      <c r="F100" s="2">
        <v>0</v>
      </c>
      <c r="G100" s="2">
        <v>16.53</v>
      </c>
      <c r="H100" s="2">
        <v>192.27</v>
      </c>
      <c r="I100" s="2">
        <v>0</v>
      </c>
      <c r="J100" s="2">
        <v>0</v>
      </c>
    </row>
    <row r="101" spans="2:10" x14ac:dyDescent="0.2">
      <c r="B101" s="2">
        <v>2543.64</v>
      </c>
      <c r="C101" s="2">
        <v>2523.65</v>
      </c>
      <c r="D101" s="2">
        <v>0</v>
      </c>
      <c r="E101" s="2">
        <v>359.084</v>
      </c>
      <c r="F101" s="2">
        <v>0</v>
      </c>
      <c r="G101" s="2">
        <v>16.53</v>
      </c>
      <c r="H101" s="2">
        <v>192.27</v>
      </c>
      <c r="I101" s="2">
        <v>0</v>
      </c>
      <c r="J101" s="2">
        <v>0</v>
      </c>
    </row>
    <row r="102" spans="2:10" x14ac:dyDescent="0.2">
      <c r="B102" s="2">
        <v>2555.0100000000002</v>
      </c>
      <c r="C102" s="2">
        <v>2535.0100000000002</v>
      </c>
      <c r="D102" s="2">
        <v>2.5619999999999998</v>
      </c>
      <c r="E102" s="2">
        <v>359.084</v>
      </c>
      <c r="F102" s="2">
        <v>6.76</v>
      </c>
      <c r="G102" s="2">
        <v>16.79</v>
      </c>
      <c r="H102" s="2">
        <v>192.27</v>
      </c>
      <c r="I102" s="2">
        <v>6.76</v>
      </c>
      <c r="J102" s="2">
        <v>0</v>
      </c>
    </row>
    <row r="103" spans="2:10" x14ac:dyDescent="0.2">
      <c r="B103" s="2">
        <v>2585.0100000000002</v>
      </c>
      <c r="C103" s="2">
        <v>2564.84</v>
      </c>
      <c r="D103" s="2">
        <v>9.32</v>
      </c>
      <c r="E103" s="2">
        <v>359.084</v>
      </c>
      <c r="F103" s="2">
        <v>6.76</v>
      </c>
      <c r="G103" s="2">
        <v>19.89</v>
      </c>
      <c r="H103" s="2">
        <v>192.22</v>
      </c>
      <c r="I103" s="2">
        <v>6.76</v>
      </c>
      <c r="J103" s="2">
        <v>0</v>
      </c>
    </row>
    <row r="104" spans="2:10" x14ac:dyDescent="0.2">
      <c r="B104" s="2">
        <v>2615.0100000000002</v>
      </c>
      <c r="C104" s="2">
        <v>2594.08</v>
      </c>
      <c r="D104" s="2">
        <v>16.077999999999999</v>
      </c>
      <c r="E104" s="2">
        <v>359.084</v>
      </c>
      <c r="F104" s="2">
        <v>6.76</v>
      </c>
      <c r="G104" s="2">
        <v>26.48</v>
      </c>
      <c r="H104" s="2">
        <v>192.11</v>
      </c>
      <c r="I104" s="2">
        <v>6.76</v>
      </c>
      <c r="J104" s="2">
        <v>0</v>
      </c>
    </row>
    <row r="105" spans="2:10" x14ac:dyDescent="0.2">
      <c r="B105" s="2">
        <v>2645.01</v>
      </c>
      <c r="C105" s="2">
        <v>2622.36</v>
      </c>
      <c r="D105" s="2">
        <v>22.837</v>
      </c>
      <c r="E105" s="2">
        <v>359.084</v>
      </c>
      <c r="F105" s="2">
        <v>6.76</v>
      </c>
      <c r="G105" s="2">
        <v>36.47</v>
      </c>
      <c r="H105" s="2">
        <v>191.95</v>
      </c>
      <c r="I105" s="2">
        <v>6.76</v>
      </c>
      <c r="J105" s="2">
        <v>0</v>
      </c>
    </row>
    <row r="106" spans="2:10" x14ac:dyDescent="0.2">
      <c r="B106" s="2">
        <v>2675.01</v>
      </c>
      <c r="C106" s="2">
        <v>2649.25</v>
      </c>
      <c r="D106" s="2">
        <v>29.594999999999999</v>
      </c>
      <c r="E106" s="2">
        <v>359.084</v>
      </c>
      <c r="F106" s="2">
        <v>6.76</v>
      </c>
      <c r="G106" s="2">
        <v>49.71</v>
      </c>
      <c r="H106" s="2">
        <v>191.74</v>
      </c>
      <c r="I106" s="2">
        <v>6.76</v>
      </c>
      <c r="J106" s="2">
        <v>0</v>
      </c>
    </row>
    <row r="107" spans="2:10" x14ac:dyDescent="0.2">
      <c r="B107" s="2">
        <v>2705.01</v>
      </c>
      <c r="C107" s="2">
        <v>2674.41</v>
      </c>
      <c r="D107" s="2">
        <v>36.353000000000002</v>
      </c>
      <c r="E107" s="2">
        <v>359.084</v>
      </c>
      <c r="F107" s="2">
        <v>6.76</v>
      </c>
      <c r="G107" s="2">
        <v>66.03</v>
      </c>
      <c r="H107" s="2">
        <v>191.48</v>
      </c>
      <c r="I107" s="2">
        <v>6.76</v>
      </c>
      <c r="J107" s="2">
        <v>0</v>
      </c>
    </row>
    <row r="108" spans="2:10" x14ac:dyDescent="0.2">
      <c r="B108" s="2">
        <v>2735.01</v>
      </c>
      <c r="C108" s="2">
        <v>2697.46</v>
      </c>
      <c r="D108" s="2">
        <v>43.110999999999997</v>
      </c>
      <c r="E108" s="2">
        <v>359.084</v>
      </c>
      <c r="F108" s="2">
        <v>6.76</v>
      </c>
      <c r="G108" s="2">
        <v>85.19</v>
      </c>
      <c r="H108" s="2">
        <v>191.17</v>
      </c>
      <c r="I108" s="2">
        <v>6.76</v>
      </c>
      <c r="J108" s="2">
        <v>0</v>
      </c>
    </row>
    <row r="109" spans="2:10" x14ac:dyDescent="0.2">
      <c r="B109" s="2">
        <v>2765.01</v>
      </c>
      <c r="C109" s="2">
        <v>2718.11</v>
      </c>
      <c r="D109" s="2">
        <v>49.87</v>
      </c>
      <c r="E109" s="2">
        <v>359.084</v>
      </c>
      <c r="F109" s="2">
        <v>6.76</v>
      </c>
      <c r="G109" s="2">
        <v>106.93</v>
      </c>
      <c r="H109" s="2">
        <v>190.82</v>
      </c>
      <c r="I109" s="2">
        <v>6.76</v>
      </c>
      <c r="J109" s="2">
        <v>0</v>
      </c>
    </row>
    <row r="110" spans="2:10" x14ac:dyDescent="0.2">
      <c r="B110" s="2">
        <v>2795.01</v>
      </c>
      <c r="C110" s="2">
        <v>2736.05</v>
      </c>
      <c r="D110" s="2">
        <v>56.628</v>
      </c>
      <c r="E110" s="2">
        <v>359.084</v>
      </c>
      <c r="F110" s="2">
        <v>6.76</v>
      </c>
      <c r="G110" s="2">
        <v>130.94999999999999</v>
      </c>
      <c r="H110" s="2">
        <v>190.44</v>
      </c>
      <c r="I110" s="2">
        <v>6.76</v>
      </c>
      <c r="J110" s="2">
        <v>0</v>
      </c>
    </row>
    <row r="111" spans="2:10" x14ac:dyDescent="0.2">
      <c r="B111" s="2">
        <v>2825.01</v>
      </c>
      <c r="C111" s="2">
        <v>2751.03</v>
      </c>
      <c r="D111" s="2">
        <v>63.386000000000003</v>
      </c>
      <c r="E111" s="2">
        <v>359.084</v>
      </c>
      <c r="F111" s="2">
        <v>6.76</v>
      </c>
      <c r="G111" s="2">
        <v>156.91999999999999</v>
      </c>
      <c r="H111" s="2">
        <v>190.03</v>
      </c>
      <c r="I111" s="2">
        <v>6.76</v>
      </c>
      <c r="J111" s="2">
        <v>0</v>
      </c>
    </row>
    <row r="112" spans="2:10" x14ac:dyDescent="0.2">
      <c r="B112" s="2">
        <v>2855.01</v>
      </c>
      <c r="C112" s="2">
        <v>2762.86</v>
      </c>
      <c r="D112" s="2">
        <v>70.144999999999996</v>
      </c>
      <c r="E112" s="2">
        <v>359.084</v>
      </c>
      <c r="F112" s="2">
        <v>6.76</v>
      </c>
      <c r="G112" s="2">
        <v>184.46</v>
      </c>
      <c r="H112" s="2">
        <v>189.58</v>
      </c>
      <c r="I112" s="2">
        <v>6.76</v>
      </c>
      <c r="J112" s="2">
        <v>0</v>
      </c>
    </row>
    <row r="113" spans="2:10" x14ac:dyDescent="0.2">
      <c r="B113" s="2">
        <v>2885.01</v>
      </c>
      <c r="C113" s="2">
        <v>2771.37</v>
      </c>
      <c r="D113" s="2">
        <v>76.903000000000006</v>
      </c>
      <c r="E113" s="2">
        <v>359.084</v>
      </c>
      <c r="F113" s="2">
        <v>6.76</v>
      </c>
      <c r="G113" s="2">
        <v>213.21</v>
      </c>
      <c r="H113" s="2">
        <v>189.12</v>
      </c>
      <c r="I113" s="2">
        <v>6.76</v>
      </c>
      <c r="J113" s="2">
        <v>0</v>
      </c>
    </row>
    <row r="114" spans="2:10" x14ac:dyDescent="0.2">
      <c r="B114" s="2">
        <v>2915.01</v>
      </c>
      <c r="C114" s="2">
        <v>2776.43</v>
      </c>
      <c r="D114" s="2">
        <v>83.661000000000001</v>
      </c>
      <c r="E114" s="2">
        <v>359.084</v>
      </c>
      <c r="F114" s="2">
        <v>6.76</v>
      </c>
      <c r="G114" s="2">
        <v>242.76</v>
      </c>
      <c r="H114" s="2">
        <v>188.65</v>
      </c>
      <c r="I114" s="2">
        <v>6.76</v>
      </c>
      <c r="J114" s="2">
        <v>0</v>
      </c>
    </row>
    <row r="115" spans="2:10" x14ac:dyDescent="0.2">
      <c r="B115" s="2">
        <v>2942.16</v>
      </c>
      <c r="C115" s="2">
        <v>2777.98</v>
      </c>
      <c r="D115" s="2">
        <v>89.777000000000001</v>
      </c>
      <c r="E115" s="2">
        <v>359.084</v>
      </c>
      <c r="F115" s="2">
        <v>6.76</v>
      </c>
      <c r="G115" s="2">
        <v>269.85000000000002</v>
      </c>
      <c r="H115" s="2">
        <v>188.22</v>
      </c>
      <c r="I115" s="2">
        <v>6.76</v>
      </c>
      <c r="J115" s="2">
        <v>0</v>
      </c>
    </row>
    <row r="116" spans="2:10" x14ac:dyDescent="0.2">
      <c r="B116" s="2">
        <v>2945.01</v>
      </c>
      <c r="C116" s="2">
        <v>2777.99</v>
      </c>
      <c r="D116" s="2">
        <v>89.777000000000001</v>
      </c>
      <c r="E116" s="2">
        <v>359.226</v>
      </c>
      <c r="F116" s="2">
        <v>1.5</v>
      </c>
      <c r="G116" s="2">
        <v>272.7</v>
      </c>
      <c r="H116" s="2">
        <v>188.18</v>
      </c>
      <c r="I116" s="2">
        <v>0</v>
      </c>
      <c r="J116" s="2">
        <v>1.5</v>
      </c>
    </row>
    <row r="117" spans="2:10" x14ac:dyDescent="0.2">
      <c r="B117" s="2">
        <v>2961.48</v>
      </c>
      <c r="C117" s="2">
        <v>2778.06</v>
      </c>
      <c r="D117" s="2">
        <v>89.777000000000001</v>
      </c>
      <c r="E117" s="2">
        <v>0.05</v>
      </c>
      <c r="F117" s="2">
        <v>1.5</v>
      </c>
      <c r="G117" s="2">
        <v>289.17</v>
      </c>
      <c r="H117" s="2">
        <v>188.07</v>
      </c>
      <c r="I117" s="2">
        <v>0</v>
      </c>
      <c r="J117" s="2">
        <v>1.5</v>
      </c>
    </row>
    <row r="118" spans="2:10" x14ac:dyDescent="0.2">
      <c r="B118" s="2">
        <v>2975.01</v>
      </c>
      <c r="C118" s="2">
        <v>2778.11</v>
      </c>
      <c r="D118" s="2">
        <v>89.777000000000001</v>
      </c>
      <c r="E118" s="2">
        <v>0.05</v>
      </c>
      <c r="F118" s="2">
        <v>0</v>
      </c>
      <c r="G118" s="2">
        <v>302.7</v>
      </c>
      <c r="H118" s="2">
        <v>188.09</v>
      </c>
      <c r="I118" s="2">
        <v>0</v>
      </c>
      <c r="J118" s="2">
        <v>0</v>
      </c>
    </row>
    <row r="119" spans="2:10" x14ac:dyDescent="0.2">
      <c r="B119" s="2">
        <v>3005.01</v>
      </c>
      <c r="C119" s="2">
        <v>2778.22</v>
      </c>
      <c r="D119" s="2">
        <v>89.777000000000001</v>
      </c>
      <c r="E119" s="2">
        <v>0.05</v>
      </c>
      <c r="F119" s="2">
        <v>0</v>
      </c>
      <c r="G119" s="2">
        <v>332.7</v>
      </c>
      <c r="H119" s="2">
        <v>188.11</v>
      </c>
      <c r="I119" s="2">
        <v>0</v>
      </c>
      <c r="J119" s="2">
        <v>0</v>
      </c>
    </row>
    <row r="120" spans="2:10" x14ac:dyDescent="0.2">
      <c r="B120" s="2">
        <v>3035.01</v>
      </c>
      <c r="C120" s="2">
        <v>2778.34</v>
      </c>
      <c r="D120" s="2">
        <v>89.777000000000001</v>
      </c>
      <c r="E120" s="2">
        <v>0.05</v>
      </c>
      <c r="F120" s="2">
        <v>0</v>
      </c>
      <c r="G120" s="2">
        <v>362.7</v>
      </c>
      <c r="H120" s="2">
        <v>188.14</v>
      </c>
      <c r="I120" s="2">
        <v>0</v>
      </c>
      <c r="J120" s="2">
        <v>0</v>
      </c>
    </row>
    <row r="121" spans="2:10" x14ac:dyDescent="0.2">
      <c r="B121" s="2">
        <v>3065.01</v>
      </c>
      <c r="C121" s="2">
        <v>2778.46</v>
      </c>
      <c r="D121" s="2">
        <v>89.777000000000001</v>
      </c>
      <c r="E121" s="2">
        <v>0.05</v>
      </c>
      <c r="F121" s="2">
        <v>0</v>
      </c>
      <c r="G121" s="2">
        <v>392.7</v>
      </c>
      <c r="H121" s="2">
        <v>188.16</v>
      </c>
      <c r="I121" s="2">
        <v>0</v>
      </c>
      <c r="J121" s="2">
        <v>0</v>
      </c>
    </row>
    <row r="122" spans="2:10" x14ac:dyDescent="0.2">
      <c r="B122" s="2">
        <v>3095.01</v>
      </c>
      <c r="C122" s="2">
        <v>2778.57</v>
      </c>
      <c r="D122" s="2">
        <v>89.777000000000001</v>
      </c>
      <c r="E122" s="2">
        <v>0.05</v>
      </c>
      <c r="F122" s="2">
        <v>0</v>
      </c>
      <c r="G122" s="2">
        <v>422.7</v>
      </c>
      <c r="H122" s="2">
        <v>188.19</v>
      </c>
      <c r="I122" s="2">
        <v>0</v>
      </c>
      <c r="J122" s="2">
        <v>0</v>
      </c>
    </row>
    <row r="123" spans="2:10" x14ac:dyDescent="0.2">
      <c r="B123" s="2">
        <v>3125.01</v>
      </c>
      <c r="C123" s="2">
        <v>2778.69</v>
      </c>
      <c r="D123" s="2">
        <v>89.777000000000001</v>
      </c>
      <c r="E123" s="2">
        <v>0.05</v>
      </c>
      <c r="F123" s="2">
        <v>0</v>
      </c>
      <c r="G123" s="2">
        <v>452.7</v>
      </c>
      <c r="H123" s="2">
        <v>188.22</v>
      </c>
      <c r="I123" s="2">
        <v>0</v>
      </c>
      <c r="J123" s="2">
        <v>0</v>
      </c>
    </row>
    <row r="124" spans="2:10" x14ac:dyDescent="0.2">
      <c r="B124" s="2">
        <v>3155.01</v>
      </c>
      <c r="C124" s="2">
        <v>2778.81</v>
      </c>
      <c r="D124" s="2">
        <v>89.777000000000001</v>
      </c>
      <c r="E124" s="2">
        <v>0.05</v>
      </c>
      <c r="F124" s="2">
        <v>0</v>
      </c>
      <c r="G124" s="2">
        <v>482.7</v>
      </c>
      <c r="H124" s="2">
        <v>188.24</v>
      </c>
      <c r="I124" s="2">
        <v>0</v>
      </c>
      <c r="J124" s="2">
        <v>0</v>
      </c>
    </row>
    <row r="125" spans="2:10" x14ac:dyDescent="0.2">
      <c r="B125" s="2">
        <v>3185.01</v>
      </c>
      <c r="C125" s="2">
        <v>2778.92</v>
      </c>
      <c r="D125" s="2">
        <v>89.777000000000001</v>
      </c>
      <c r="E125" s="2">
        <v>0.05</v>
      </c>
      <c r="F125" s="2">
        <v>0</v>
      </c>
      <c r="G125" s="2">
        <v>512.70000000000005</v>
      </c>
      <c r="H125" s="2">
        <v>188.27</v>
      </c>
      <c r="I125" s="2">
        <v>0</v>
      </c>
      <c r="J125" s="2">
        <v>0</v>
      </c>
    </row>
    <row r="126" spans="2:10" x14ac:dyDescent="0.2">
      <c r="B126" s="2">
        <v>3215.01</v>
      </c>
      <c r="C126" s="2">
        <v>2779.04</v>
      </c>
      <c r="D126" s="2">
        <v>89.777000000000001</v>
      </c>
      <c r="E126" s="2">
        <v>0.05</v>
      </c>
      <c r="F126" s="2">
        <v>0</v>
      </c>
      <c r="G126" s="2">
        <v>542.70000000000005</v>
      </c>
      <c r="H126" s="2">
        <v>188.3</v>
      </c>
      <c r="I126" s="2">
        <v>0</v>
      </c>
      <c r="J126" s="2">
        <v>0</v>
      </c>
    </row>
    <row r="127" spans="2:10" x14ac:dyDescent="0.2">
      <c r="B127" s="2">
        <v>3245.01</v>
      </c>
      <c r="C127" s="2">
        <v>2779.16</v>
      </c>
      <c r="D127" s="2">
        <v>89.777000000000001</v>
      </c>
      <c r="E127" s="2">
        <v>0.05</v>
      </c>
      <c r="F127" s="2">
        <v>0</v>
      </c>
      <c r="G127" s="2">
        <v>572.70000000000005</v>
      </c>
      <c r="H127" s="2">
        <v>188.32</v>
      </c>
      <c r="I127" s="2">
        <v>0</v>
      </c>
      <c r="J127" s="2">
        <v>0</v>
      </c>
    </row>
    <row r="128" spans="2:10" x14ac:dyDescent="0.2">
      <c r="B128" s="2">
        <v>3275.01</v>
      </c>
      <c r="C128" s="2">
        <v>2779.28</v>
      </c>
      <c r="D128" s="2">
        <v>89.777000000000001</v>
      </c>
      <c r="E128" s="2">
        <v>0.05</v>
      </c>
      <c r="F128" s="2">
        <v>0</v>
      </c>
      <c r="G128" s="2">
        <v>602.70000000000005</v>
      </c>
      <c r="H128" s="2">
        <v>188.35</v>
      </c>
      <c r="I128" s="2">
        <v>0</v>
      </c>
      <c r="J128" s="2">
        <v>0</v>
      </c>
    </row>
    <row r="129" spans="2:10" x14ac:dyDescent="0.2">
      <c r="B129" s="2">
        <v>3305.01</v>
      </c>
      <c r="C129" s="2">
        <v>2779.39</v>
      </c>
      <c r="D129" s="2">
        <v>89.777000000000001</v>
      </c>
      <c r="E129" s="2">
        <v>0.05</v>
      </c>
      <c r="F129" s="2">
        <v>0</v>
      </c>
      <c r="G129" s="2">
        <v>632.70000000000005</v>
      </c>
      <c r="H129" s="2">
        <v>188.37</v>
      </c>
      <c r="I129" s="2">
        <v>0</v>
      </c>
      <c r="J129" s="2">
        <v>0</v>
      </c>
    </row>
    <row r="130" spans="2:10" x14ac:dyDescent="0.2">
      <c r="B130" s="2">
        <v>3335.01</v>
      </c>
      <c r="C130" s="2">
        <v>2779.51</v>
      </c>
      <c r="D130" s="2">
        <v>89.777000000000001</v>
      </c>
      <c r="E130" s="2">
        <v>0.05</v>
      </c>
      <c r="F130" s="2">
        <v>0</v>
      </c>
      <c r="G130" s="2">
        <v>662.7</v>
      </c>
      <c r="H130" s="2">
        <v>188.4</v>
      </c>
      <c r="I130" s="2">
        <v>0</v>
      </c>
      <c r="J130" s="2">
        <v>0</v>
      </c>
    </row>
    <row r="131" spans="2:10" x14ac:dyDescent="0.2">
      <c r="B131" s="2">
        <v>3365.01</v>
      </c>
      <c r="C131" s="2">
        <v>2779.63</v>
      </c>
      <c r="D131" s="2">
        <v>89.777000000000001</v>
      </c>
      <c r="E131" s="2">
        <v>0.05</v>
      </c>
      <c r="F131" s="2">
        <v>0</v>
      </c>
      <c r="G131" s="2">
        <v>692.7</v>
      </c>
      <c r="H131" s="2">
        <v>188.43</v>
      </c>
      <c r="I131" s="2">
        <v>0</v>
      </c>
      <c r="J131" s="2">
        <v>0</v>
      </c>
    </row>
    <row r="132" spans="2:10" x14ac:dyDescent="0.2">
      <c r="B132" s="2">
        <v>3395.01</v>
      </c>
      <c r="C132" s="2">
        <v>2779.74</v>
      </c>
      <c r="D132" s="2">
        <v>89.777000000000001</v>
      </c>
      <c r="E132" s="2">
        <v>0.05</v>
      </c>
      <c r="F132" s="2">
        <v>0</v>
      </c>
      <c r="G132" s="2">
        <v>722.7</v>
      </c>
      <c r="H132" s="2">
        <v>188.45</v>
      </c>
      <c r="I132" s="2">
        <v>0</v>
      </c>
      <c r="J132" s="2">
        <v>0</v>
      </c>
    </row>
    <row r="133" spans="2:10" x14ac:dyDescent="0.2">
      <c r="B133" s="2">
        <v>3425.01</v>
      </c>
      <c r="C133" s="2">
        <v>2779.86</v>
      </c>
      <c r="D133" s="2">
        <v>89.777000000000001</v>
      </c>
      <c r="E133" s="2">
        <v>0.05</v>
      </c>
      <c r="F133" s="2">
        <v>0</v>
      </c>
      <c r="G133" s="2">
        <v>752.69</v>
      </c>
      <c r="H133" s="2">
        <v>188.48</v>
      </c>
      <c r="I133" s="2">
        <v>0</v>
      </c>
      <c r="J133" s="2">
        <v>0</v>
      </c>
    </row>
    <row r="134" spans="2:10" x14ac:dyDescent="0.2">
      <c r="B134" s="2">
        <v>3455.01</v>
      </c>
      <c r="C134" s="2">
        <v>2779.98</v>
      </c>
      <c r="D134" s="2">
        <v>89.777000000000001</v>
      </c>
      <c r="E134" s="2">
        <v>0.05</v>
      </c>
      <c r="F134" s="2">
        <v>0</v>
      </c>
      <c r="G134" s="2">
        <v>782.69</v>
      </c>
      <c r="H134" s="2">
        <v>188.51</v>
      </c>
      <c r="I134" s="2">
        <v>0</v>
      </c>
      <c r="J134" s="2">
        <v>0</v>
      </c>
    </row>
    <row r="135" spans="2:10" x14ac:dyDescent="0.2">
      <c r="B135" s="2">
        <v>3485.01</v>
      </c>
      <c r="C135" s="2">
        <v>2780.09</v>
      </c>
      <c r="D135" s="2">
        <v>89.777000000000001</v>
      </c>
      <c r="E135" s="2">
        <v>0.05</v>
      </c>
      <c r="F135" s="2">
        <v>0</v>
      </c>
      <c r="G135" s="2">
        <v>812.69</v>
      </c>
      <c r="H135" s="2">
        <v>188.53</v>
      </c>
      <c r="I135" s="2">
        <v>0</v>
      </c>
      <c r="J135" s="2">
        <v>0</v>
      </c>
    </row>
    <row r="136" spans="2:10" x14ac:dyDescent="0.2">
      <c r="B136" s="2">
        <v>3515.01</v>
      </c>
      <c r="C136" s="2">
        <v>2780.21</v>
      </c>
      <c r="D136" s="2">
        <v>89.777000000000001</v>
      </c>
      <c r="E136" s="2">
        <v>0.05</v>
      </c>
      <c r="F136" s="2">
        <v>0</v>
      </c>
      <c r="G136" s="2">
        <v>842.69</v>
      </c>
      <c r="H136" s="2">
        <v>188.56</v>
      </c>
      <c r="I136" s="2">
        <v>0</v>
      </c>
      <c r="J136" s="2">
        <v>0</v>
      </c>
    </row>
    <row r="137" spans="2:10" x14ac:dyDescent="0.2">
      <c r="B137" s="2">
        <v>3545.01</v>
      </c>
      <c r="C137" s="2">
        <v>2780.33</v>
      </c>
      <c r="D137" s="2">
        <v>89.777000000000001</v>
      </c>
      <c r="E137" s="2">
        <v>0.05</v>
      </c>
      <c r="F137" s="2">
        <v>0</v>
      </c>
      <c r="G137" s="2">
        <v>872.69</v>
      </c>
      <c r="H137" s="2">
        <v>188.58</v>
      </c>
      <c r="I137" s="2">
        <v>0</v>
      </c>
      <c r="J137" s="2">
        <v>0</v>
      </c>
    </row>
    <row r="138" spans="2:10" x14ac:dyDescent="0.2">
      <c r="B138" s="2">
        <v>3575.01</v>
      </c>
      <c r="C138" s="2">
        <v>2780.44</v>
      </c>
      <c r="D138" s="2">
        <v>89.777000000000001</v>
      </c>
      <c r="E138" s="2">
        <v>0.05</v>
      </c>
      <c r="F138" s="2">
        <v>0</v>
      </c>
      <c r="G138" s="2">
        <v>902.69</v>
      </c>
      <c r="H138" s="2">
        <v>188.61</v>
      </c>
      <c r="I138" s="2">
        <v>0</v>
      </c>
      <c r="J138" s="2">
        <v>0</v>
      </c>
    </row>
    <row r="139" spans="2:10" x14ac:dyDescent="0.2">
      <c r="B139" s="2">
        <v>3605.01</v>
      </c>
      <c r="C139" s="2">
        <v>2780.56</v>
      </c>
      <c r="D139" s="2">
        <v>89.777000000000001</v>
      </c>
      <c r="E139" s="2">
        <v>0.05</v>
      </c>
      <c r="F139" s="2">
        <v>0</v>
      </c>
      <c r="G139" s="2">
        <v>932.69</v>
      </c>
      <c r="H139" s="2">
        <v>188.64</v>
      </c>
      <c r="I139" s="2">
        <v>0</v>
      </c>
      <c r="J139" s="2">
        <v>0</v>
      </c>
    </row>
    <row r="140" spans="2:10" x14ac:dyDescent="0.2">
      <c r="B140" s="2">
        <v>3635.01</v>
      </c>
      <c r="C140" s="2">
        <v>2780.68</v>
      </c>
      <c r="D140" s="2">
        <v>89.777000000000001</v>
      </c>
      <c r="E140" s="2">
        <v>0.05</v>
      </c>
      <c r="F140" s="2">
        <v>0</v>
      </c>
      <c r="G140" s="2">
        <v>962.69</v>
      </c>
      <c r="H140" s="2">
        <v>188.66</v>
      </c>
      <c r="I140" s="2">
        <v>0</v>
      </c>
      <c r="J140" s="2">
        <v>0</v>
      </c>
    </row>
    <row r="141" spans="2:10" x14ac:dyDescent="0.2">
      <c r="B141" s="2">
        <v>3665.01</v>
      </c>
      <c r="C141" s="2">
        <v>2780.79</v>
      </c>
      <c r="D141" s="2">
        <v>89.777000000000001</v>
      </c>
      <c r="E141" s="2">
        <v>0.05</v>
      </c>
      <c r="F141" s="2">
        <v>0</v>
      </c>
      <c r="G141" s="2">
        <v>992.69</v>
      </c>
      <c r="H141" s="2">
        <v>188.69</v>
      </c>
      <c r="I141" s="2">
        <v>0</v>
      </c>
      <c r="J141" s="2">
        <v>0</v>
      </c>
    </row>
    <row r="142" spans="2:10" x14ac:dyDescent="0.2">
      <c r="B142" s="2">
        <v>3695.01</v>
      </c>
      <c r="C142" s="2">
        <v>2780.91</v>
      </c>
      <c r="D142" s="2">
        <v>89.777000000000001</v>
      </c>
      <c r="E142" s="2">
        <v>0.05</v>
      </c>
      <c r="F142" s="2">
        <v>0</v>
      </c>
      <c r="G142" s="2">
        <v>1022.69</v>
      </c>
      <c r="H142" s="2">
        <v>188.72</v>
      </c>
      <c r="I142" s="2">
        <v>0</v>
      </c>
      <c r="J142" s="2">
        <v>0</v>
      </c>
    </row>
    <row r="143" spans="2:10" x14ac:dyDescent="0.2">
      <c r="B143" s="2">
        <v>3725.01</v>
      </c>
      <c r="C143" s="2">
        <v>2781.03</v>
      </c>
      <c r="D143" s="2">
        <v>89.777000000000001</v>
      </c>
      <c r="E143" s="2">
        <v>0.05</v>
      </c>
      <c r="F143" s="2">
        <v>0</v>
      </c>
      <c r="G143" s="2">
        <v>1052.69</v>
      </c>
      <c r="H143" s="2">
        <v>188.74</v>
      </c>
      <c r="I143" s="2">
        <v>0</v>
      </c>
      <c r="J143" s="2">
        <v>0</v>
      </c>
    </row>
    <row r="144" spans="2:10" x14ac:dyDescent="0.2">
      <c r="B144" s="2">
        <v>3755.01</v>
      </c>
      <c r="C144" s="2">
        <v>2781.14</v>
      </c>
      <c r="D144" s="2">
        <v>89.777000000000001</v>
      </c>
      <c r="E144" s="2">
        <v>0.05</v>
      </c>
      <c r="F144" s="2">
        <v>0</v>
      </c>
      <c r="G144" s="2">
        <v>1082.69</v>
      </c>
      <c r="H144" s="2">
        <v>188.77</v>
      </c>
      <c r="I144" s="2">
        <v>0</v>
      </c>
      <c r="J144" s="2">
        <v>0</v>
      </c>
    </row>
    <row r="145" spans="2:10" x14ac:dyDescent="0.2">
      <c r="B145" s="2">
        <v>3785.01</v>
      </c>
      <c r="C145" s="2">
        <v>2781.26</v>
      </c>
      <c r="D145" s="2">
        <v>89.777000000000001</v>
      </c>
      <c r="E145" s="2">
        <v>0.05</v>
      </c>
      <c r="F145" s="2">
        <v>0</v>
      </c>
      <c r="G145" s="2">
        <v>1112.69</v>
      </c>
      <c r="H145" s="2">
        <v>188.79</v>
      </c>
      <c r="I145" s="2">
        <v>0</v>
      </c>
      <c r="J145" s="2">
        <v>0</v>
      </c>
    </row>
    <row r="146" spans="2:10" x14ac:dyDescent="0.2">
      <c r="B146" s="2">
        <v>3815.01</v>
      </c>
      <c r="C146" s="2">
        <v>2781.38</v>
      </c>
      <c r="D146" s="2">
        <v>89.777000000000001</v>
      </c>
      <c r="E146" s="2">
        <v>0.05</v>
      </c>
      <c r="F146" s="2">
        <v>0</v>
      </c>
      <c r="G146" s="2">
        <v>1142.69</v>
      </c>
      <c r="H146" s="2">
        <v>188.82</v>
      </c>
      <c r="I146" s="2">
        <v>0</v>
      </c>
      <c r="J146" s="2">
        <v>0</v>
      </c>
    </row>
    <row r="147" spans="2:10" x14ac:dyDescent="0.2">
      <c r="B147" s="2">
        <v>3845.01</v>
      </c>
      <c r="C147" s="2">
        <v>2781.49</v>
      </c>
      <c r="D147" s="2">
        <v>89.777000000000001</v>
      </c>
      <c r="E147" s="2">
        <v>0.05</v>
      </c>
      <c r="F147" s="2">
        <v>0</v>
      </c>
      <c r="G147" s="2">
        <v>1172.69</v>
      </c>
      <c r="H147" s="2">
        <v>188.85</v>
      </c>
      <c r="I147" s="2">
        <v>0</v>
      </c>
      <c r="J147" s="2">
        <v>0</v>
      </c>
    </row>
    <row r="148" spans="2:10" x14ac:dyDescent="0.2">
      <c r="B148" s="2">
        <v>3875.01</v>
      </c>
      <c r="C148" s="2">
        <v>2781.61</v>
      </c>
      <c r="D148" s="2">
        <v>89.777000000000001</v>
      </c>
      <c r="E148" s="2">
        <v>0.05</v>
      </c>
      <c r="F148" s="2">
        <v>0</v>
      </c>
      <c r="G148" s="2">
        <v>1202.69</v>
      </c>
      <c r="H148" s="2">
        <v>188.87</v>
      </c>
      <c r="I148" s="2">
        <v>0</v>
      </c>
      <c r="J148" s="2">
        <v>0</v>
      </c>
    </row>
    <row r="149" spans="2:10" x14ac:dyDescent="0.2">
      <c r="B149" s="2">
        <v>3905.01</v>
      </c>
      <c r="C149" s="2">
        <v>2781.73</v>
      </c>
      <c r="D149" s="2">
        <v>89.777000000000001</v>
      </c>
      <c r="E149" s="2">
        <v>0.05</v>
      </c>
      <c r="F149" s="2">
        <v>0</v>
      </c>
      <c r="G149" s="2">
        <v>1232.69</v>
      </c>
      <c r="H149" s="2">
        <v>188.9</v>
      </c>
      <c r="I149" s="2">
        <v>0</v>
      </c>
      <c r="J149" s="2">
        <v>0</v>
      </c>
    </row>
    <row r="150" spans="2:10" x14ac:dyDescent="0.2">
      <c r="B150" s="2">
        <v>3935.01</v>
      </c>
      <c r="C150" s="2">
        <v>2781.84</v>
      </c>
      <c r="D150" s="2">
        <v>89.777000000000001</v>
      </c>
      <c r="E150" s="2">
        <v>0.05</v>
      </c>
      <c r="F150" s="2">
        <v>0</v>
      </c>
      <c r="G150" s="2">
        <v>1262.69</v>
      </c>
      <c r="H150" s="2">
        <v>188.93</v>
      </c>
      <c r="I150" s="2">
        <v>0</v>
      </c>
      <c r="J150" s="2">
        <v>0</v>
      </c>
    </row>
    <row r="151" spans="2:10" x14ac:dyDescent="0.2">
      <c r="B151" s="2">
        <v>3965.01</v>
      </c>
      <c r="C151" s="2">
        <v>2781.96</v>
      </c>
      <c r="D151" s="2">
        <v>89.777000000000001</v>
      </c>
      <c r="E151" s="2">
        <v>0.05</v>
      </c>
      <c r="F151" s="2">
        <v>0</v>
      </c>
      <c r="G151" s="2">
        <v>1292.69</v>
      </c>
      <c r="H151" s="2">
        <v>188.95</v>
      </c>
      <c r="I151" s="2">
        <v>0</v>
      </c>
      <c r="J151" s="2">
        <v>0</v>
      </c>
    </row>
    <row r="152" spans="2:10" x14ac:dyDescent="0.2">
      <c r="B152" s="2">
        <v>3995.01</v>
      </c>
      <c r="C152" s="2">
        <v>2782.08</v>
      </c>
      <c r="D152" s="2">
        <v>89.777000000000001</v>
      </c>
      <c r="E152" s="2">
        <v>0.05</v>
      </c>
      <c r="F152" s="2">
        <v>0</v>
      </c>
      <c r="G152" s="2">
        <v>1322.69</v>
      </c>
      <c r="H152" s="2">
        <v>188.98</v>
      </c>
      <c r="I152" s="2">
        <v>0</v>
      </c>
      <c r="J152" s="2">
        <v>0</v>
      </c>
    </row>
    <row r="153" spans="2:10" x14ac:dyDescent="0.2">
      <c r="B153" s="2">
        <v>4025.01</v>
      </c>
      <c r="C153" s="2">
        <v>2782.19</v>
      </c>
      <c r="D153" s="2">
        <v>89.777000000000001</v>
      </c>
      <c r="E153" s="2">
        <v>0.05</v>
      </c>
      <c r="F153" s="2">
        <v>0</v>
      </c>
      <c r="G153" s="2">
        <v>1352.69</v>
      </c>
      <c r="H153" s="2">
        <v>189</v>
      </c>
      <c r="I153" s="2">
        <v>0</v>
      </c>
      <c r="J153" s="2">
        <v>0</v>
      </c>
    </row>
    <row r="154" spans="2:10" x14ac:dyDescent="0.2">
      <c r="B154" s="2">
        <v>4055.01</v>
      </c>
      <c r="C154" s="2">
        <v>2782.31</v>
      </c>
      <c r="D154" s="2">
        <v>89.777000000000001</v>
      </c>
      <c r="E154" s="2">
        <v>0.05</v>
      </c>
      <c r="F154" s="2">
        <v>0</v>
      </c>
      <c r="G154" s="2">
        <v>1382.69</v>
      </c>
      <c r="H154" s="2">
        <v>189.03</v>
      </c>
      <c r="I154" s="2">
        <v>0</v>
      </c>
      <c r="J154" s="2">
        <v>0</v>
      </c>
    </row>
    <row r="155" spans="2:10" x14ac:dyDescent="0.2">
      <c r="B155" s="2">
        <v>4085.01</v>
      </c>
      <c r="C155" s="2">
        <v>2782.43</v>
      </c>
      <c r="D155" s="2">
        <v>89.777000000000001</v>
      </c>
      <c r="E155" s="2">
        <v>0.05</v>
      </c>
      <c r="F155" s="2">
        <v>0</v>
      </c>
      <c r="G155" s="2">
        <v>1412.69</v>
      </c>
      <c r="H155" s="2">
        <v>189.06</v>
      </c>
      <c r="I155" s="2">
        <v>0</v>
      </c>
      <c r="J155" s="2">
        <v>0</v>
      </c>
    </row>
    <row r="156" spans="2:10" x14ac:dyDescent="0.2">
      <c r="B156" s="2">
        <v>4115.01</v>
      </c>
      <c r="C156" s="2">
        <v>2782.54</v>
      </c>
      <c r="D156" s="2">
        <v>89.777000000000001</v>
      </c>
      <c r="E156" s="2">
        <v>0.05</v>
      </c>
      <c r="F156" s="2">
        <v>0</v>
      </c>
      <c r="G156" s="2">
        <v>1442.69</v>
      </c>
      <c r="H156" s="2">
        <v>189.08</v>
      </c>
      <c r="I156" s="2">
        <v>0</v>
      </c>
      <c r="J156" s="2">
        <v>0</v>
      </c>
    </row>
    <row r="157" spans="2:10" x14ac:dyDescent="0.2">
      <c r="B157" s="2">
        <v>4145.01</v>
      </c>
      <c r="C157" s="2">
        <v>2782.66</v>
      </c>
      <c r="D157" s="2">
        <v>89.777000000000001</v>
      </c>
      <c r="E157" s="2">
        <v>0.05</v>
      </c>
      <c r="F157" s="2">
        <v>0</v>
      </c>
      <c r="G157" s="2">
        <v>1472.69</v>
      </c>
      <c r="H157" s="2">
        <v>189.11</v>
      </c>
      <c r="I157" s="2">
        <v>0</v>
      </c>
      <c r="J157" s="2">
        <v>0</v>
      </c>
    </row>
    <row r="158" spans="2:10" x14ac:dyDescent="0.2">
      <c r="B158" s="2">
        <v>4175.01</v>
      </c>
      <c r="C158" s="2">
        <v>2782.78</v>
      </c>
      <c r="D158" s="2">
        <v>89.777000000000001</v>
      </c>
      <c r="E158" s="2">
        <v>0.05</v>
      </c>
      <c r="F158" s="2">
        <v>0</v>
      </c>
      <c r="G158" s="2">
        <v>1502.69</v>
      </c>
      <c r="H158" s="2">
        <v>189.14</v>
      </c>
      <c r="I158" s="2">
        <v>0</v>
      </c>
      <c r="J158" s="2">
        <v>0</v>
      </c>
    </row>
    <row r="159" spans="2:10" x14ac:dyDescent="0.2">
      <c r="B159" s="2">
        <v>4205.01</v>
      </c>
      <c r="C159" s="2">
        <v>2782.89</v>
      </c>
      <c r="D159" s="2">
        <v>89.777000000000001</v>
      </c>
      <c r="E159" s="2">
        <v>0.05</v>
      </c>
      <c r="F159" s="2">
        <v>0</v>
      </c>
      <c r="G159" s="2">
        <v>1532.69</v>
      </c>
      <c r="H159" s="2">
        <v>189.16</v>
      </c>
      <c r="I159" s="2">
        <v>0</v>
      </c>
      <c r="J159" s="2">
        <v>0</v>
      </c>
    </row>
    <row r="160" spans="2:10" x14ac:dyDescent="0.2">
      <c r="B160" s="2">
        <v>4235.01</v>
      </c>
      <c r="C160" s="2">
        <v>2783.01</v>
      </c>
      <c r="D160" s="2">
        <v>89.777000000000001</v>
      </c>
      <c r="E160" s="2">
        <v>0.05</v>
      </c>
      <c r="F160" s="2">
        <v>0</v>
      </c>
      <c r="G160" s="2">
        <v>1562.69</v>
      </c>
      <c r="H160" s="2">
        <v>189.19</v>
      </c>
      <c r="I160" s="2">
        <v>0</v>
      </c>
      <c r="J160" s="2">
        <v>0</v>
      </c>
    </row>
    <row r="161" spans="2:10" x14ac:dyDescent="0.2">
      <c r="B161" s="2">
        <v>4265.01</v>
      </c>
      <c r="C161" s="2">
        <v>2783.13</v>
      </c>
      <c r="D161" s="2">
        <v>89.777000000000001</v>
      </c>
      <c r="E161" s="2">
        <v>0.05</v>
      </c>
      <c r="F161" s="2">
        <v>0</v>
      </c>
      <c r="G161" s="2">
        <v>1592.69</v>
      </c>
      <c r="H161" s="2">
        <v>189.22</v>
      </c>
      <c r="I161" s="2">
        <v>0</v>
      </c>
      <c r="J161" s="2">
        <v>0</v>
      </c>
    </row>
    <row r="162" spans="2:10" x14ac:dyDescent="0.2">
      <c r="B162" s="2">
        <v>4295.01</v>
      </c>
      <c r="C162" s="2">
        <v>2783.24</v>
      </c>
      <c r="D162" s="2">
        <v>89.777000000000001</v>
      </c>
      <c r="E162" s="2">
        <v>0.05</v>
      </c>
      <c r="F162" s="2">
        <v>0</v>
      </c>
      <c r="G162" s="2">
        <v>1622.69</v>
      </c>
      <c r="H162" s="2">
        <v>189.24</v>
      </c>
      <c r="I162" s="2">
        <v>0</v>
      </c>
      <c r="J162" s="2">
        <v>0</v>
      </c>
    </row>
    <row r="163" spans="2:10" x14ac:dyDescent="0.2">
      <c r="B163" s="2">
        <v>4325.01</v>
      </c>
      <c r="C163" s="2">
        <v>2783.36</v>
      </c>
      <c r="D163" s="2">
        <v>89.777000000000001</v>
      </c>
      <c r="E163" s="2">
        <v>0.05</v>
      </c>
      <c r="F163" s="2">
        <v>0</v>
      </c>
      <c r="G163" s="2">
        <v>1652.69</v>
      </c>
      <c r="H163" s="2">
        <v>189.27</v>
      </c>
      <c r="I163" s="2">
        <v>0</v>
      </c>
      <c r="J163" s="2">
        <v>0</v>
      </c>
    </row>
    <row r="164" spans="2:10" x14ac:dyDescent="0.2">
      <c r="B164" s="2">
        <v>4355.01</v>
      </c>
      <c r="C164" s="2">
        <v>2783.48</v>
      </c>
      <c r="D164" s="2">
        <v>89.777000000000001</v>
      </c>
      <c r="E164" s="2">
        <v>0.05</v>
      </c>
      <c r="F164" s="2">
        <v>0</v>
      </c>
      <c r="G164" s="2">
        <v>1682.69</v>
      </c>
      <c r="H164" s="2">
        <v>189.29</v>
      </c>
      <c r="I164" s="2">
        <v>0</v>
      </c>
      <c r="J164" s="2">
        <v>0</v>
      </c>
    </row>
    <row r="165" spans="2:10" x14ac:dyDescent="0.2">
      <c r="B165" s="2">
        <v>4385.01</v>
      </c>
      <c r="C165" s="2">
        <v>2783.59</v>
      </c>
      <c r="D165" s="2">
        <v>89.777000000000001</v>
      </c>
      <c r="E165" s="2">
        <v>0.05</v>
      </c>
      <c r="F165" s="2">
        <v>0</v>
      </c>
      <c r="G165" s="2">
        <v>1712.69</v>
      </c>
      <c r="H165" s="2">
        <v>189.32</v>
      </c>
      <c r="I165" s="2">
        <v>0</v>
      </c>
      <c r="J165" s="2">
        <v>0</v>
      </c>
    </row>
    <row r="166" spans="2:10" x14ac:dyDescent="0.2">
      <c r="B166" s="2">
        <v>4415.01</v>
      </c>
      <c r="C166" s="2">
        <v>2783.71</v>
      </c>
      <c r="D166" s="2">
        <v>89.777000000000001</v>
      </c>
      <c r="E166" s="2">
        <v>0.05</v>
      </c>
      <c r="F166" s="2">
        <v>0</v>
      </c>
      <c r="G166" s="2">
        <v>1742.69</v>
      </c>
      <c r="H166" s="2">
        <v>189.35</v>
      </c>
      <c r="I166" s="2">
        <v>0</v>
      </c>
      <c r="J166" s="2">
        <v>0</v>
      </c>
    </row>
    <row r="167" spans="2:10" x14ac:dyDescent="0.2">
      <c r="B167" s="2">
        <v>4445.01</v>
      </c>
      <c r="C167" s="2">
        <v>2783.83</v>
      </c>
      <c r="D167" s="2">
        <v>89.777000000000001</v>
      </c>
      <c r="E167" s="2">
        <v>0.05</v>
      </c>
      <c r="F167" s="2">
        <v>0</v>
      </c>
      <c r="G167" s="2">
        <v>1772.69</v>
      </c>
      <c r="H167" s="2">
        <v>189.37</v>
      </c>
      <c r="I167" s="2">
        <v>0</v>
      </c>
      <c r="J167" s="2">
        <v>0</v>
      </c>
    </row>
    <row r="168" spans="2:10" x14ac:dyDescent="0.2">
      <c r="B168" s="2">
        <v>4475.01</v>
      </c>
      <c r="C168" s="2">
        <v>2783.94</v>
      </c>
      <c r="D168" s="2">
        <v>89.777000000000001</v>
      </c>
      <c r="E168" s="2">
        <v>0.05</v>
      </c>
      <c r="F168" s="2">
        <v>0</v>
      </c>
      <c r="G168" s="2">
        <v>1802.69</v>
      </c>
      <c r="H168" s="2">
        <v>189.4</v>
      </c>
      <c r="I168" s="2">
        <v>0</v>
      </c>
      <c r="J168" s="2">
        <v>0</v>
      </c>
    </row>
    <row r="169" spans="2:10" x14ac:dyDescent="0.2">
      <c r="B169" s="2">
        <v>4505.01</v>
      </c>
      <c r="C169" s="2">
        <v>2784.06</v>
      </c>
      <c r="D169" s="2">
        <v>89.777000000000001</v>
      </c>
      <c r="E169" s="2">
        <v>0.05</v>
      </c>
      <c r="F169" s="2">
        <v>0</v>
      </c>
      <c r="G169" s="2">
        <v>1832.69</v>
      </c>
      <c r="H169" s="2">
        <v>189.43</v>
      </c>
      <c r="I169" s="2">
        <v>0</v>
      </c>
      <c r="J169" s="2">
        <v>0</v>
      </c>
    </row>
    <row r="170" spans="2:10" x14ac:dyDescent="0.2">
      <c r="B170" s="2">
        <v>4535.01</v>
      </c>
      <c r="C170" s="2">
        <v>2784.18</v>
      </c>
      <c r="D170" s="2">
        <v>89.777000000000001</v>
      </c>
      <c r="E170" s="2">
        <v>0.05</v>
      </c>
      <c r="F170" s="2">
        <v>0</v>
      </c>
      <c r="G170" s="2">
        <v>1862.69</v>
      </c>
      <c r="H170" s="2">
        <v>189.45</v>
      </c>
      <c r="I170" s="2">
        <v>0</v>
      </c>
      <c r="J170" s="2">
        <v>0</v>
      </c>
    </row>
    <row r="171" spans="2:10" x14ac:dyDescent="0.2">
      <c r="B171" s="2">
        <v>4565.01</v>
      </c>
      <c r="C171" s="2">
        <v>2784.29</v>
      </c>
      <c r="D171" s="2">
        <v>89.777000000000001</v>
      </c>
      <c r="E171" s="2">
        <v>0.05</v>
      </c>
      <c r="F171" s="2">
        <v>0</v>
      </c>
      <c r="G171" s="2">
        <v>1892.69</v>
      </c>
      <c r="H171" s="2">
        <v>189.48</v>
      </c>
      <c r="I171" s="2">
        <v>0</v>
      </c>
      <c r="J171" s="2">
        <v>0</v>
      </c>
    </row>
    <row r="172" spans="2:10" x14ac:dyDescent="0.2">
      <c r="B172" s="2">
        <v>4595.01</v>
      </c>
      <c r="C172" s="2">
        <v>2784.41</v>
      </c>
      <c r="D172" s="2">
        <v>89.777000000000001</v>
      </c>
      <c r="E172" s="2">
        <v>0.05</v>
      </c>
      <c r="F172" s="2">
        <v>0</v>
      </c>
      <c r="G172" s="2">
        <v>1922.69</v>
      </c>
      <c r="H172" s="2">
        <v>189.5</v>
      </c>
      <c r="I172" s="2">
        <v>0</v>
      </c>
      <c r="J172" s="2">
        <v>0</v>
      </c>
    </row>
    <row r="173" spans="2:10" x14ac:dyDescent="0.2">
      <c r="B173" s="2">
        <v>4625.01</v>
      </c>
      <c r="C173" s="2">
        <v>2784.53</v>
      </c>
      <c r="D173" s="2">
        <v>89.777000000000001</v>
      </c>
      <c r="E173" s="2">
        <v>0.05</v>
      </c>
      <c r="F173" s="2">
        <v>0</v>
      </c>
      <c r="G173" s="2">
        <v>1952.69</v>
      </c>
      <c r="H173" s="2">
        <v>189.53</v>
      </c>
      <c r="I173" s="2">
        <v>0</v>
      </c>
      <c r="J173" s="2">
        <v>0</v>
      </c>
    </row>
    <row r="174" spans="2:10" x14ac:dyDescent="0.2">
      <c r="B174" s="2">
        <v>4655.01</v>
      </c>
      <c r="C174" s="2">
        <v>2784.64</v>
      </c>
      <c r="D174" s="2">
        <v>89.777000000000001</v>
      </c>
      <c r="E174" s="2">
        <v>0.05</v>
      </c>
      <c r="F174" s="2">
        <v>0</v>
      </c>
      <c r="G174" s="2">
        <v>1982.69</v>
      </c>
      <c r="H174" s="2">
        <v>189.56</v>
      </c>
      <c r="I174" s="2">
        <v>0</v>
      </c>
      <c r="J174" s="2">
        <v>0</v>
      </c>
    </row>
    <row r="175" spans="2:10" x14ac:dyDescent="0.2">
      <c r="B175" s="2">
        <v>4685.01</v>
      </c>
      <c r="C175" s="2">
        <v>2784.76</v>
      </c>
      <c r="D175" s="2">
        <v>89.777000000000001</v>
      </c>
      <c r="E175" s="2">
        <v>0.05</v>
      </c>
      <c r="F175" s="2">
        <v>0</v>
      </c>
      <c r="G175" s="2">
        <v>2012.68</v>
      </c>
      <c r="H175" s="2">
        <v>189.58</v>
      </c>
      <c r="I175" s="2">
        <v>0</v>
      </c>
      <c r="J175" s="2">
        <v>0</v>
      </c>
    </row>
    <row r="176" spans="2:10" x14ac:dyDescent="0.2">
      <c r="B176" s="2">
        <v>4715.01</v>
      </c>
      <c r="C176" s="2">
        <v>2784.88</v>
      </c>
      <c r="D176" s="2">
        <v>89.777000000000001</v>
      </c>
      <c r="E176" s="2">
        <v>0.05</v>
      </c>
      <c r="F176" s="2">
        <v>0</v>
      </c>
      <c r="G176" s="2">
        <v>2042.68</v>
      </c>
      <c r="H176" s="2">
        <v>189.61</v>
      </c>
      <c r="I176" s="2">
        <v>0</v>
      </c>
      <c r="J176" s="2">
        <v>0</v>
      </c>
    </row>
    <row r="177" spans="2:10" x14ac:dyDescent="0.2">
      <c r="B177" s="2">
        <v>4745.01</v>
      </c>
      <c r="C177" s="2">
        <v>2784.99</v>
      </c>
      <c r="D177" s="2">
        <v>89.777000000000001</v>
      </c>
      <c r="E177" s="2">
        <v>0.05</v>
      </c>
      <c r="F177" s="2">
        <v>0</v>
      </c>
      <c r="G177" s="2">
        <v>2072.6799999999998</v>
      </c>
      <c r="H177" s="2">
        <v>189.64</v>
      </c>
      <c r="I177" s="2">
        <v>0</v>
      </c>
      <c r="J177" s="2">
        <v>0</v>
      </c>
    </row>
    <row r="178" spans="2:10" x14ac:dyDescent="0.2">
      <c r="B178" s="2">
        <v>4775.01</v>
      </c>
      <c r="C178" s="2">
        <v>2785.11</v>
      </c>
      <c r="D178" s="2">
        <v>89.777000000000001</v>
      </c>
      <c r="E178" s="2">
        <v>0.05</v>
      </c>
      <c r="F178" s="2">
        <v>0</v>
      </c>
      <c r="G178" s="2">
        <v>2102.6799999999998</v>
      </c>
      <c r="H178" s="2">
        <v>189.66</v>
      </c>
      <c r="I178" s="2">
        <v>0</v>
      </c>
      <c r="J178" s="2">
        <v>0</v>
      </c>
    </row>
    <row r="179" spans="2:10" x14ac:dyDescent="0.2">
      <c r="B179" s="2">
        <v>4805.01</v>
      </c>
      <c r="C179" s="2">
        <v>2785.23</v>
      </c>
      <c r="D179" s="2">
        <v>89.777000000000001</v>
      </c>
      <c r="E179" s="2">
        <v>0.05</v>
      </c>
      <c r="F179" s="2">
        <v>0</v>
      </c>
      <c r="G179" s="2">
        <v>2132.6799999999998</v>
      </c>
      <c r="H179" s="2">
        <v>189.69</v>
      </c>
      <c r="I179" s="2">
        <v>0</v>
      </c>
      <c r="J179" s="2">
        <v>0</v>
      </c>
    </row>
    <row r="180" spans="2:10" x14ac:dyDescent="0.2">
      <c r="B180" s="2">
        <v>4835.01</v>
      </c>
      <c r="C180" s="2">
        <v>2785.35</v>
      </c>
      <c r="D180" s="2">
        <v>89.777000000000001</v>
      </c>
      <c r="E180" s="2">
        <v>0.05</v>
      </c>
      <c r="F180" s="2">
        <v>0</v>
      </c>
      <c r="G180" s="2">
        <v>2162.6799999999998</v>
      </c>
      <c r="H180" s="2">
        <v>189.71</v>
      </c>
      <c r="I180" s="2">
        <v>0</v>
      </c>
      <c r="J180" s="2">
        <v>0</v>
      </c>
    </row>
    <row r="181" spans="2:10" x14ac:dyDescent="0.2">
      <c r="B181" s="2">
        <v>4865.01</v>
      </c>
      <c r="C181" s="2">
        <v>2785.46</v>
      </c>
      <c r="D181" s="2">
        <v>89.777000000000001</v>
      </c>
      <c r="E181" s="2">
        <v>0.05</v>
      </c>
      <c r="F181" s="2">
        <v>0</v>
      </c>
      <c r="G181" s="2">
        <v>2192.6799999999998</v>
      </c>
      <c r="H181" s="2">
        <v>189.74</v>
      </c>
      <c r="I181" s="2">
        <v>0</v>
      </c>
      <c r="J181" s="2">
        <v>0</v>
      </c>
    </row>
    <row r="182" spans="2:10" x14ac:dyDescent="0.2">
      <c r="B182" s="2">
        <v>4895.01</v>
      </c>
      <c r="C182" s="2">
        <v>2785.58</v>
      </c>
      <c r="D182" s="2">
        <v>89.777000000000001</v>
      </c>
      <c r="E182" s="2">
        <v>0.05</v>
      </c>
      <c r="F182" s="2">
        <v>0</v>
      </c>
      <c r="G182" s="2">
        <v>2222.6799999999998</v>
      </c>
      <c r="H182" s="2">
        <v>189.77</v>
      </c>
      <c r="I182" s="2">
        <v>0</v>
      </c>
      <c r="J182" s="2">
        <v>0</v>
      </c>
    </row>
    <row r="183" spans="2:10" x14ac:dyDescent="0.2">
      <c r="B183" s="2">
        <v>4925.01</v>
      </c>
      <c r="C183" s="2">
        <v>2785.7</v>
      </c>
      <c r="D183" s="2">
        <v>89.777000000000001</v>
      </c>
      <c r="E183" s="2">
        <v>0.05</v>
      </c>
      <c r="F183" s="2">
        <v>0</v>
      </c>
      <c r="G183" s="2">
        <v>2252.6799999999998</v>
      </c>
      <c r="H183" s="2">
        <v>189.79</v>
      </c>
      <c r="I183" s="2">
        <v>0</v>
      </c>
      <c r="J183" s="2">
        <v>0</v>
      </c>
    </row>
    <row r="184" spans="2:10" x14ac:dyDescent="0.2">
      <c r="B184" s="2">
        <v>4955.01</v>
      </c>
      <c r="C184" s="2">
        <v>2785.81</v>
      </c>
      <c r="D184" s="2">
        <v>89.777000000000001</v>
      </c>
      <c r="E184" s="2">
        <v>0.05</v>
      </c>
      <c r="F184" s="2">
        <v>0</v>
      </c>
      <c r="G184" s="2">
        <v>2282.6799999999998</v>
      </c>
      <c r="H184" s="2">
        <v>189.82</v>
      </c>
      <c r="I184" s="2">
        <v>0</v>
      </c>
      <c r="J184" s="2">
        <v>0</v>
      </c>
    </row>
    <row r="185" spans="2:10" x14ac:dyDescent="0.2">
      <c r="B185" s="2">
        <v>4985.01</v>
      </c>
      <c r="C185" s="2">
        <v>2785.93</v>
      </c>
      <c r="D185" s="2">
        <v>89.777000000000001</v>
      </c>
      <c r="E185" s="2">
        <v>0.05</v>
      </c>
      <c r="F185" s="2">
        <v>0</v>
      </c>
      <c r="G185" s="2">
        <v>2312.6799999999998</v>
      </c>
      <c r="H185" s="2">
        <v>189.85</v>
      </c>
      <c r="I185" s="2">
        <v>0</v>
      </c>
      <c r="J185" s="2">
        <v>0</v>
      </c>
    </row>
    <row r="186" spans="2:10" x14ac:dyDescent="0.2">
      <c r="B186" s="2">
        <v>5015.01</v>
      </c>
      <c r="C186" s="2">
        <v>2786.05</v>
      </c>
      <c r="D186" s="2">
        <v>89.777000000000001</v>
      </c>
      <c r="E186" s="2">
        <v>0.05</v>
      </c>
      <c r="F186" s="2">
        <v>0</v>
      </c>
      <c r="G186" s="2">
        <v>2342.6799999999998</v>
      </c>
      <c r="H186" s="2">
        <v>189.87</v>
      </c>
      <c r="I186" s="2">
        <v>0</v>
      </c>
      <c r="J186" s="2">
        <v>0</v>
      </c>
    </row>
    <row r="187" spans="2:10" x14ac:dyDescent="0.2">
      <c r="B187" s="2">
        <v>5045.01</v>
      </c>
      <c r="C187" s="2">
        <v>2786.16</v>
      </c>
      <c r="D187" s="2">
        <v>89.777000000000001</v>
      </c>
      <c r="E187" s="2">
        <v>0.05</v>
      </c>
      <c r="F187" s="2">
        <v>0</v>
      </c>
      <c r="G187" s="2">
        <v>2372.6799999999998</v>
      </c>
      <c r="H187" s="2">
        <v>189.9</v>
      </c>
      <c r="I187" s="2">
        <v>0</v>
      </c>
      <c r="J187" s="2">
        <v>0</v>
      </c>
    </row>
    <row r="188" spans="2:10" x14ac:dyDescent="0.2">
      <c r="B188" s="2">
        <v>5075.01</v>
      </c>
      <c r="C188" s="2">
        <v>2786.28</v>
      </c>
      <c r="D188" s="2">
        <v>89.777000000000001</v>
      </c>
      <c r="E188" s="2">
        <v>0.05</v>
      </c>
      <c r="F188" s="2">
        <v>0</v>
      </c>
      <c r="G188" s="2">
        <v>2402.6799999999998</v>
      </c>
      <c r="H188" s="2">
        <v>189.92</v>
      </c>
      <c r="I188" s="2">
        <v>0</v>
      </c>
      <c r="J188" s="2">
        <v>0</v>
      </c>
    </row>
    <row r="189" spans="2:10" x14ac:dyDescent="0.2">
      <c r="B189" s="2">
        <v>5105.01</v>
      </c>
      <c r="C189" s="2">
        <v>2786.4</v>
      </c>
      <c r="D189" s="2">
        <v>89.777000000000001</v>
      </c>
      <c r="E189" s="2">
        <v>0.05</v>
      </c>
      <c r="F189" s="2">
        <v>0</v>
      </c>
      <c r="G189" s="2">
        <v>2432.6799999999998</v>
      </c>
      <c r="H189" s="2">
        <v>189.95</v>
      </c>
      <c r="I189" s="2">
        <v>0</v>
      </c>
      <c r="J189" s="2">
        <v>0</v>
      </c>
    </row>
    <row r="190" spans="2:10" x14ac:dyDescent="0.2">
      <c r="B190" s="2">
        <v>5135.01</v>
      </c>
      <c r="C190" s="2">
        <v>2786.51</v>
      </c>
      <c r="D190" s="2">
        <v>89.777000000000001</v>
      </c>
      <c r="E190" s="2">
        <v>0.05</v>
      </c>
      <c r="F190" s="2">
        <v>0</v>
      </c>
      <c r="G190" s="2">
        <v>2462.6799999999998</v>
      </c>
      <c r="H190" s="2">
        <v>189.98</v>
      </c>
      <c r="I190" s="2">
        <v>0</v>
      </c>
      <c r="J190" s="2">
        <v>0</v>
      </c>
    </row>
    <row r="191" spans="2:10" x14ac:dyDescent="0.2">
      <c r="B191" s="2">
        <v>5165.01</v>
      </c>
      <c r="C191" s="2">
        <v>2786.63</v>
      </c>
      <c r="D191" s="2">
        <v>89.777000000000001</v>
      </c>
      <c r="E191" s="2">
        <v>0.05</v>
      </c>
      <c r="F191" s="2">
        <v>0</v>
      </c>
      <c r="G191" s="2">
        <v>2492.6799999999998</v>
      </c>
      <c r="H191" s="2">
        <v>190</v>
      </c>
      <c r="I191" s="2">
        <v>0</v>
      </c>
      <c r="J191" s="2">
        <v>0</v>
      </c>
    </row>
    <row r="192" spans="2:10" x14ac:dyDescent="0.2">
      <c r="B192" s="2">
        <v>5195.01</v>
      </c>
      <c r="C192" s="2">
        <v>2786.75</v>
      </c>
      <c r="D192" s="2">
        <v>89.777000000000001</v>
      </c>
      <c r="E192" s="2">
        <v>0.05</v>
      </c>
      <c r="F192" s="2">
        <v>0</v>
      </c>
      <c r="G192" s="2">
        <v>2522.6799999999998</v>
      </c>
      <c r="H192" s="2">
        <v>190.03</v>
      </c>
      <c r="I192" s="2">
        <v>0</v>
      </c>
      <c r="J192" s="2">
        <v>0</v>
      </c>
    </row>
    <row r="193" spans="2:10" x14ac:dyDescent="0.2">
      <c r="B193" s="2">
        <v>5225.01</v>
      </c>
      <c r="C193" s="2">
        <v>2786.86</v>
      </c>
      <c r="D193" s="2">
        <v>89.777000000000001</v>
      </c>
      <c r="E193" s="2">
        <v>0.05</v>
      </c>
      <c r="F193" s="2">
        <v>0</v>
      </c>
      <c r="G193" s="2">
        <v>2552.6799999999998</v>
      </c>
      <c r="H193" s="2">
        <v>190.06</v>
      </c>
      <c r="I193" s="2">
        <v>0</v>
      </c>
      <c r="J193" s="2">
        <v>0</v>
      </c>
    </row>
    <row r="194" spans="2:10" x14ac:dyDescent="0.2">
      <c r="B194" s="2">
        <v>5255.01</v>
      </c>
      <c r="C194" s="2">
        <v>2786.98</v>
      </c>
      <c r="D194" s="2">
        <v>89.777000000000001</v>
      </c>
      <c r="E194" s="2">
        <v>0.05</v>
      </c>
      <c r="F194" s="2">
        <v>0</v>
      </c>
      <c r="G194" s="2">
        <v>2582.6799999999998</v>
      </c>
      <c r="H194" s="2">
        <v>190.08</v>
      </c>
      <c r="I194" s="2">
        <v>0</v>
      </c>
      <c r="J194" s="2">
        <v>0</v>
      </c>
    </row>
    <row r="195" spans="2:10" x14ac:dyDescent="0.2">
      <c r="B195" s="2">
        <v>5285.01</v>
      </c>
      <c r="C195" s="2">
        <v>2787.1</v>
      </c>
      <c r="D195" s="2">
        <v>89.777000000000001</v>
      </c>
      <c r="E195" s="2">
        <v>0.05</v>
      </c>
      <c r="F195" s="2">
        <v>0</v>
      </c>
      <c r="G195" s="2">
        <v>2612.6799999999998</v>
      </c>
      <c r="H195" s="2">
        <v>190.11</v>
      </c>
      <c r="I195" s="2">
        <v>0</v>
      </c>
      <c r="J195" s="2">
        <v>0</v>
      </c>
    </row>
    <row r="196" spans="2:10" x14ac:dyDescent="0.2">
      <c r="B196" s="2">
        <v>5315.01</v>
      </c>
      <c r="C196" s="2">
        <v>2787.21</v>
      </c>
      <c r="D196" s="2">
        <v>89.777000000000001</v>
      </c>
      <c r="E196" s="2">
        <v>0.05</v>
      </c>
      <c r="F196" s="2">
        <v>0</v>
      </c>
      <c r="G196" s="2">
        <v>2642.68</v>
      </c>
      <c r="H196" s="2">
        <v>190.14</v>
      </c>
      <c r="I196" s="2">
        <v>0</v>
      </c>
      <c r="J196" s="2">
        <v>0</v>
      </c>
    </row>
    <row r="197" spans="2:10" x14ac:dyDescent="0.2">
      <c r="B197" s="2">
        <v>5345.01</v>
      </c>
      <c r="C197" s="2">
        <v>2787.33</v>
      </c>
      <c r="D197" s="2">
        <v>89.777000000000001</v>
      </c>
      <c r="E197" s="2">
        <v>0.05</v>
      </c>
      <c r="F197" s="2">
        <v>0</v>
      </c>
      <c r="G197" s="2">
        <v>2672.68</v>
      </c>
      <c r="H197" s="2">
        <v>190.16</v>
      </c>
      <c r="I197" s="2">
        <v>0</v>
      </c>
      <c r="J197" s="2">
        <v>0</v>
      </c>
    </row>
    <row r="198" spans="2:10" x14ac:dyDescent="0.2">
      <c r="B198" s="2">
        <v>5375.01</v>
      </c>
      <c r="C198" s="2">
        <v>2787.45</v>
      </c>
      <c r="D198" s="2">
        <v>89.777000000000001</v>
      </c>
      <c r="E198" s="2">
        <v>0.05</v>
      </c>
      <c r="F198" s="2">
        <v>0</v>
      </c>
      <c r="G198" s="2">
        <v>2702.68</v>
      </c>
      <c r="H198" s="2">
        <v>190.19</v>
      </c>
      <c r="I198" s="2">
        <v>0</v>
      </c>
      <c r="J198" s="2">
        <v>0</v>
      </c>
    </row>
    <row r="199" spans="2:10" x14ac:dyDescent="0.2">
      <c r="B199" s="2">
        <v>5405.01</v>
      </c>
      <c r="C199" s="2">
        <v>2787.56</v>
      </c>
      <c r="D199" s="2">
        <v>89.777000000000001</v>
      </c>
      <c r="E199" s="2">
        <v>0.05</v>
      </c>
      <c r="F199" s="2">
        <v>0</v>
      </c>
      <c r="G199" s="2">
        <v>2732.68</v>
      </c>
      <c r="H199" s="2">
        <v>190.21</v>
      </c>
      <c r="I199" s="2">
        <v>0</v>
      </c>
      <c r="J199" s="2">
        <v>0</v>
      </c>
    </row>
    <row r="200" spans="2:10" x14ac:dyDescent="0.2">
      <c r="B200" s="2">
        <v>5435.01</v>
      </c>
      <c r="C200" s="2">
        <v>2787.68</v>
      </c>
      <c r="D200" s="2">
        <v>89.777000000000001</v>
      </c>
      <c r="E200" s="2">
        <v>0.05</v>
      </c>
      <c r="F200" s="2">
        <v>0</v>
      </c>
      <c r="G200" s="2">
        <v>2762.68</v>
      </c>
      <c r="H200" s="2">
        <v>190.24</v>
      </c>
      <c r="I200" s="2">
        <v>0</v>
      </c>
      <c r="J200" s="2">
        <v>0</v>
      </c>
    </row>
    <row r="201" spans="2:10" x14ac:dyDescent="0.2">
      <c r="B201" s="2">
        <v>5465.01</v>
      </c>
      <c r="C201" s="2">
        <v>2787.8</v>
      </c>
      <c r="D201" s="2">
        <v>89.777000000000001</v>
      </c>
      <c r="E201" s="2">
        <v>0.05</v>
      </c>
      <c r="F201" s="2">
        <v>0</v>
      </c>
      <c r="G201" s="2">
        <v>2792.68</v>
      </c>
      <c r="H201" s="2">
        <v>190.27</v>
      </c>
      <c r="I201" s="2">
        <v>0</v>
      </c>
      <c r="J201" s="2">
        <v>0</v>
      </c>
    </row>
    <row r="202" spans="2:10" x14ac:dyDescent="0.2">
      <c r="B202" s="2">
        <v>5495.01</v>
      </c>
      <c r="C202" s="2">
        <v>2787.91</v>
      </c>
      <c r="D202" s="2">
        <v>89.777000000000001</v>
      </c>
      <c r="E202" s="2">
        <v>0.05</v>
      </c>
      <c r="F202" s="2">
        <v>0</v>
      </c>
      <c r="G202" s="2">
        <v>2822.68</v>
      </c>
      <c r="H202" s="2">
        <v>190.29</v>
      </c>
      <c r="I202" s="2">
        <v>0</v>
      </c>
      <c r="J202" s="2">
        <v>0</v>
      </c>
    </row>
    <row r="203" spans="2:10" x14ac:dyDescent="0.2">
      <c r="B203" s="2">
        <v>5512.18</v>
      </c>
      <c r="C203" s="2">
        <v>2787.98</v>
      </c>
      <c r="D203" s="2">
        <v>89.777000000000001</v>
      </c>
      <c r="E203" s="2">
        <v>0.05</v>
      </c>
      <c r="F203" s="2">
        <v>0</v>
      </c>
      <c r="G203" s="2">
        <v>2839.84</v>
      </c>
      <c r="H203" s="2">
        <v>190.31</v>
      </c>
      <c r="I203" s="2">
        <v>0</v>
      </c>
      <c r="J203" s="2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C5D0F-177C-BA46-AEB2-DAB11C0732F7}">
  <sheetPr codeName="Sheet5">
    <tabColor rgb="FFFF0000"/>
  </sheetPr>
  <dimension ref="B2:O94"/>
  <sheetViews>
    <sheetView topLeftCell="A73" workbookViewId="0">
      <selection activeCell="L5" sqref="L5:L94"/>
    </sheetView>
  </sheetViews>
  <sheetFormatPr baseColWidth="10" defaultColWidth="11.1640625" defaultRowHeight="16" x14ac:dyDescent="0.2"/>
  <sheetData>
    <row r="2" spans="2:15" x14ac:dyDescent="0.2">
      <c r="B2" s="72" t="s">
        <v>9</v>
      </c>
      <c r="C2" s="72"/>
      <c r="D2" s="72" t="s">
        <v>10</v>
      </c>
      <c r="E2" s="72"/>
      <c r="F2" s="72"/>
      <c r="H2" s="73" t="s">
        <v>9</v>
      </c>
      <c r="I2" s="74"/>
      <c r="J2" s="73" t="s">
        <v>10</v>
      </c>
      <c r="K2" s="75"/>
      <c r="L2" s="74"/>
      <c r="N2" t="s">
        <v>5</v>
      </c>
      <c r="O2">
        <v>368</v>
      </c>
    </row>
    <row r="3" spans="2:15" x14ac:dyDescent="0.2">
      <c r="B3" s="4" t="s">
        <v>11</v>
      </c>
      <c r="C3" s="4" t="s">
        <v>12</v>
      </c>
      <c r="D3" s="4" t="s">
        <v>13</v>
      </c>
      <c r="E3" s="4" t="s">
        <v>14</v>
      </c>
      <c r="F3" s="4" t="s">
        <v>15</v>
      </c>
      <c r="H3" s="4" t="s">
        <v>11</v>
      </c>
      <c r="I3" s="4" t="s">
        <v>12</v>
      </c>
      <c r="J3" s="4" t="s">
        <v>13</v>
      </c>
      <c r="K3" s="4" t="s">
        <v>14</v>
      </c>
      <c r="L3" s="4" t="s">
        <v>15</v>
      </c>
    </row>
    <row r="4" spans="2:15" x14ac:dyDescent="0.2">
      <c r="B4" s="5" t="s">
        <v>16</v>
      </c>
      <c r="C4" s="5" t="s">
        <v>17</v>
      </c>
      <c r="D4" s="5" t="s">
        <v>16</v>
      </c>
      <c r="E4" s="5" t="s">
        <v>16</v>
      </c>
      <c r="F4" s="5" t="s">
        <v>16</v>
      </c>
      <c r="H4" s="5" t="s">
        <v>1</v>
      </c>
      <c r="I4" s="5" t="s">
        <v>17</v>
      </c>
      <c r="J4" s="5" t="s">
        <v>1</v>
      </c>
      <c r="K4" s="5" t="s">
        <v>1</v>
      </c>
      <c r="L4" s="5" t="s">
        <v>1</v>
      </c>
    </row>
    <row r="5" spans="2:15" x14ac:dyDescent="0.2">
      <c r="B5" s="6">
        <v>-2405.4299999999998</v>
      </c>
      <c r="C5" s="6">
        <v>2968.16</v>
      </c>
      <c r="D5" s="6">
        <v>-2407.2399999999998</v>
      </c>
      <c r="E5" s="6">
        <f>D5+5</f>
        <v>-2402.2399999999998</v>
      </c>
      <c r="F5" s="6">
        <f>D5-5</f>
        <v>-2412.2399999999998</v>
      </c>
      <c r="H5" s="6">
        <f>ABS(B5-$O$2)</f>
        <v>2773.43</v>
      </c>
      <c r="I5" s="6">
        <v>2968.16</v>
      </c>
      <c r="J5" s="6">
        <f>ABS(D5-$O$2)</f>
        <v>2775.24</v>
      </c>
      <c r="K5" s="6">
        <f>J5+5</f>
        <v>2780.24</v>
      </c>
      <c r="L5" s="6">
        <f>J5-5</f>
        <v>2770.24</v>
      </c>
    </row>
    <row r="6" spans="2:15" x14ac:dyDescent="0.2">
      <c r="B6" s="6">
        <v>-2405.65</v>
      </c>
      <c r="C6" s="6">
        <v>2997.28</v>
      </c>
      <c r="D6" s="6">
        <v>-2407.29</v>
      </c>
      <c r="E6" s="6">
        <f t="shared" ref="E6:E69" si="0">D6+5</f>
        <v>-2402.29</v>
      </c>
      <c r="F6" s="6">
        <f t="shared" ref="F6:F69" si="1">D6-5</f>
        <v>-2412.29</v>
      </c>
      <c r="H6" s="6">
        <f t="shared" ref="H6:H69" si="2">ABS(B6-$O$2)</f>
        <v>2773.65</v>
      </c>
      <c r="I6" s="6">
        <v>2997.28</v>
      </c>
      <c r="J6" s="6">
        <f t="shared" ref="J6:J69" si="3">ABS(D6-$O$2)</f>
        <v>2775.29</v>
      </c>
      <c r="K6" s="6">
        <f t="shared" ref="K6:K69" si="4">J6+5</f>
        <v>2780.29</v>
      </c>
      <c r="L6" s="6">
        <f t="shared" ref="L6:L69" si="5">J6-5</f>
        <v>2770.29</v>
      </c>
    </row>
    <row r="7" spans="2:15" x14ac:dyDescent="0.2">
      <c r="B7" s="6">
        <v>-2405.75</v>
      </c>
      <c r="C7" s="6">
        <v>3026.48</v>
      </c>
      <c r="D7" s="6">
        <v>-2407.65</v>
      </c>
      <c r="E7" s="6">
        <f t="shared" si="0"/>
        <v>-2402.65</v>
      </c>
      <c r="F7" s="6">
        <f t="shared" si="1"/>
        <v>-2412.65</v>
      </c>
      <c r="H7" s="6">
        <f t="shared" si="2"/>
        <v>2773.75</v>
      </c>
      <c r="I7" s="6">
        <v>3026.48</v>
      </c>
      <c r="J7" s="6">
        <f t="shared" si="3"/>
        <v>2775.65</v>
      </c>
      <c r="K7" s="6">
        <f t="shared" si="4"/>
        <v>2780.65</v>
      </c>
      <c r="L7" s="6">
        <f t="shared" si="5"/>
        <v>2770.65</v>
      </c>
    </row>
    <row r="8" spans="2:15" x14ac:dyDescent="0.2">
      <c r="B8" s="6">
        <v>-2405.79</v>
      </c>
      <c r="C8" s="6">
        <v>3055.7</v>
      </c>
      <c r="D8" s="6">
        <v>-2408.0500000000002</v>
      </c>
      <c r="E8" s="6">
        <f t="shared" si="0"/>
        <v>-2403.0500000000002</v>
      </c>
      <c r="F8" s="6">
        <f t="shared" si="1"/>
        <v>-2413.0500000000002</v>
      </c>
      <c r="H8" s="6">
        <f t="shared" si="2"/>
        <v>2773.79</v>
      </c>
      <c r="I8" s="6">
        <v>3055.7</v>
      </c>
      <c r="J8" s="6">
        <f t="shared" si="3"/>
        <v>2776.05</v>
      </c>
      <c r="K8" s="6">
        <f t="shared" si="4"/>
        <v>2781.05</v>
      </c>
      <c r="L8" s="6">
        <f t="shared" si="5"/>
        <v>2771.05</v>
      </c>
    </row>
    <row r="9" spans="2:15" x14ac:dyDescent="0.2">
      <c r="B9" s="6">
        <v>-2405.96</v>
      </c>
      <c r="C9" s="6">
        <v>3084.97</v>
      </c>
      <c r="D9" s="6">
        <v>-2408.4499999999998</v>
      </c>
      <c r="E9" s="6">
        <f t="shared" si="0"/>
        <v>-2403.4499999999998</v>
      </c>
      <c r="F9" s="6">
        <f t="shared" si="1"/>
        <v>-2413.4499999999998</v>
      </c>
      <c r="H9" s="6">
        <f t="shared" si="2"/>
        <v>2773.96</v>
      </c>
      <c r="I9" s="6">
        <v>3084.97</v>
      </c>
      <c r="J9" s="6">
        <f t="shared" si="3"/>
        <v>2776.45</v>
      </c>
      <c r="K9" s="6">
        <f t="shared" si="4"/>
        <v>2781.45</v>
      </c>
      <c r="L9" s="6">
        <f t="shared" si="5"/>
        <v>2771.45</v>
      </c>
    </row>
    <row r="10" spans="2:15" x14ac:dyDescent="0.2">
      <c r="B10" s="6">
        <v>-2406.1799999999998</v>
      </c>
      <c r="C10" s="6">
        <v>3107.03</v>
      </c>
      <c r="D10" s="6">
        <v>-2408.75</v>
      </c>
      <c r="E10" s="6">
        <f t="shared" si="0"/>
        <v>-2403.75</v>
      </c>
      <c r="F10" s="6">
        <f t="shared" si="1"/>
        <v>-2413.75</v>
      </c>
      <c r="H10" s="6">
        <f t="shared" si="2"/>
        <v>2774.18</v>
      </c>
      <c r="I10" s="6">
        <v>3107.03</v>
      </c>
      <c r="J10" s="6">
        <f t="shared" si="3"/>
        <v>2776.75</v>
      </c>
      <c r="K10" s="6">
        <f t="shared" si="4"/>
        <v>2781.75</v>
      </c>
      <c r="L10" s="6">
        <f t="shared" si="5"/>
        <v>2771.75</v>
      </c>
    </row>
    <row r="11" spans="2:15" x14ac:dyDescent="0.2">
      <c r="B11" s="6">
        <v>-2406.6</v>
      </c>
      <c r="C11" s="6">
        <v>3126.76</v>
      </c>
      <c r="D11" s="6">
        <v>-2409.0300000000002</v>
      </c>
      <c r="E11" s="6">
        <f t="shared" si="0"/>
        <v>-2404.0300000000002</v>
      </c>
      <c r="F11" s="6">
        <f t="shared" si="1"/>
        <v>-2414.0300000000002</v>
      </c>
      <c r="H11" s="6">
        <f t="shared" si="2"/>
        <v>2774.6</v>
      </c>
      <c r="I11" s="6">
        <v>3126.76</v>
      </c>
      <c r="J11" s="6">
        <f t="shared" si="3"/>
        <v>2777.03</v>
      </c>
      <c r="K11" s="6">
        <f t="shared" si="4"/>
        <v>2782.03</v>
      </c>
      <c r="L11" s="6">
        <f t="shared" si="5"/>
        <v>2772.03</v>
      </c>
    </row>
    <row r="12" spans="2:15" x14ac:dyDescent="0.2">
      <c r="B12" s="6">
        <v>-2407.25</v>
      </c>
      <c r="C12" s="6">
        <v>3154.93</v>
      </c>
      <c r="D12" s="6">
        <v>-2409.4299999999998</v>
      </c>
      <c r="E12" s="6">
        <f t="shared" si="0"/>
        <v>-2404.4299999999998</v>
      </c>
      <c r="F12" s="6">
        <f t="shared" si="1"/>
        <v>-2414.4299999999998</v>
      </c>
      <c r="H12" s="6">
        <f t="shared" si="2"/>
        <v>2775.25</v>
      </c>
      <c r="I12" s="6">
        <v>3154.93</v>
      </c>
      <c r="J12" s="6">
        <f t="shared" si="3"/>
        <v>2777.43</v>
      </c>
      <c r="K12" s="6">
        <f t="shared" si="4"/>
        <v>2782.43</v>
      </c>
      <c r="L12" s="6">
        <f t="shared" si="5"/>
        <v>2772.43</v>
      </c>
    </row>
    <row r="13" spans="2:15" x14ac:dyDescent="0.2">
      <c r="B13" s="6">
        <v>-2407.58</v>
      </c>
      <c r="C13" s="6">
        <v>3184.21</v>
      </c>
      <c r="D13" s="6">
        <v>-2409.84</v>
      </c>
      <c r="E13" s="6">
        <f t="shared" si="0"/>
        <v>-2404.84</v>
      </c>
      <c r="F13" s="6">
        <f t="shared" si="1"/>
        <v>-2414.84</v>
      </c>
      <c r="H13" s="6">
        <f t="shared" si="2"/>
        <v>2775.58</v>
      </c>
      <c r="I13" s="6">
        <v>3184.21</v>
      </c>
      <c r="J13" s="6">
        <f t="shared" si="3"/>
        <v>2777.84</v>
      </c>
      <c r="K13" s="6">
        <f t="shared" si="4"/>
        <v>2782.84</v>
      </c>
      <c r="L13" s="6">
        <f t="shared" si="5"/>
        <v>2772.84</v>
      </c>
    </row>
    <row r="14" spans="2:15" x14ac:dyDescent="0.2">
      <c r="B14" s="6">
        <v>-2407.8000000000002</v>
      </c>
      <c r="C14" s="6">
        <v>3213.31</v>
      </c>
      <c r="D14" s="6">
        <v>-2410.2399999999998</v>
      </c>
      <c r="E14" s="6">
        <f t="shared" si="0"/>
        <v>-2405.2399999999998</v>
      </c>
      <c r="F14" s="6">
        <f t="shared" si="1"/>
        <v>-2415.2399999999998</v>
      </c>
      <c r="H14" s="6">
        <f t="shared" si="2"/>
        <v>2775.8</v>
      </c>
      <c r="I14" s="6">
        <v>3213.31</v>
      </c>
      <c r="J14" s="6">
        <f t="shared" si="3"/>
        <v>2778.24</v>
      </c>
      <c r="K14" s="6">
        <f t="shared" si="4"/>
        <v>2783.24</v>
      </c>
      <c r="L14" s="6">
        <f t="shared" si="5"/>
        <v>2773.24</v>
      </c>
    </row>
    <row r="15" spans="2:15" x14ac:dyDescent="0.2">
      <c r="B15" s="6">
        <v>-2408.12</v>
      </c>
      <c r="C15" s="6">
        <v>3242.25</v>
      </c>
      <c r="D15" s="6">
        <v>-2410.65</v>
      </c>
      <c r="E15" s="6">
        <f t="shared" si="0"/>
        <v>-2405.65</v>
      </c>
      <c r="F15" s="6">
        <f t="shared" si="1"/>
        <v>-2415.65</v>
      </c>
      <c r="H15" s="6">
        <f t="shared" si="2"/>
        <v>2776.12</v>
      </c>
      <c r="I15" s="6">
        <v>3242.25</v>
      </c>
      <c r="J15" s="6">
        <f t="shared" si="3"/>
        <v>2778.65</v>
      </c>
      <c r="K15" s="6">
        <f t="shared" si="4"/>
        <v>2783.65</v>
      </c>
      <c r="L15" s="6">
        <f t="shared" si="5"/>
        <v>2773.65</v>
      </c>
    </row>
    <row r="16" spans="2:15" x14ac:dyDescent="0.2">
      <c r="B16" s="6">
        <v>-2408.59</v>
      </c>
      <c r="C16" s="6">
        <v>3271.08</v>
      </c>
      <c r="D16" s="6">
        <v>-2411.0500000000002</v>
      </c>
      <c r="E16" s="6">
        <f t="shared" si="0"/>
        <v>-2406.0500000000002</v>
      </c>
      <c r="F16" s="6">
        <f t="shared" si="1"/>
        <v>-2416.0500000000002</v>
      </c>
      <c r="H16" s="6">
        <f t="shared" si="2"/>
        <v>2776.59</v>
      </c>
      <c r="I16" s="6">
        <v>3271.08</v>
      </c>
      <c r="J16" s="6">
        <f t="shared" si="3"/>
        <v>2779.05</v>
      </c>
      <c r="K16" s="6">
        <f t="shared" si="4"/>
        <v>2784.05</v>
      </c>
      <c r="L16" s="6">
        <f t="shared" si="5"/>
        <v>2774.05</v>
      </c>
    </row>
    <row r="17" spans="2:12" x14ac:dyDescent="0.2">
      <c r="B17" s="6">
        <v>-2409.12</v>
      </c>
      <c r="C17" s="6">
        <v>3300.2</v>
      </c>
      <c r="D17" s="6">
        <v>-2411.4499999999998</v>
      </c>
      <c r="E17" s="6">
        <f t="shared" si="0"/>
        <v>-2406.4499999999998</v>
      </c>
      <c r="F17" s="6">
        <f t="shared" si="1"/>
        <v>-2416.4499999999998</v>
      </c>
      <c r="H17" s="6">
        <f t="shared" si="2"/>
        <v>2777.12</v>
      </c>
      <c r="I17" s="6">
        <v>3300.2</v>
      </c>
      <c r="J17" s="6">
        <f t="shared" si="3"/>
        <v>2779.45</v>
      </c>
      <c r="K17" s="6">
        <f t="shared" si="4"/>
        <v>2784.45</v>
      </c>
      <c r="L17" s="6">
        <f t="shared" si="5"/>
        <v>2774.45</v>
      </c>
    </row>
    <row r="18" spans="2:12" x14ac:dyDescent="0.2">
      <c r="B18" s="6">
        <v>-2409.5300000000002</v>
      </c>
      <c r="C18" s="6">
        <v>3329.22</v>
      </c>
      <c r="D18" s="6">
        <v>-2411.86</v>
      </c>
      <c r="E18" s="6">
        <f t="shared" si="0"/>
        <v>-2406.86</v>
      </c>
      <c r="F18" s="6">
        <f t="shared" si="1"/>
        <v>-2416.86</v>
      </c>
      <c r="H18" s="6">
        <f t="shared" si="2"/>
        <v>2777.53</v>
      </c>
      <c r="I18" s="6">
        <v>3329.22</v>
      </c>
      <c r="J18" s="6">
        <f t="shared" si="3"/>
        <v>2779.86</v>
      </c>
      <c r="K18" s="6">
        <f t="shared" si="4"/>
        <v>2784.86</v>
      </c>
      <c r="L18" s="6">
        <f t="shared" si="5"/>
        <v>2774.86</v>
      </c>
    </row>
    <row r="19" spans="2:12" x14ac:dyDescent="0.2">
      <c r="B19" s="6">
        <v>-2409.86</v>
      </c>
      <c r="C19" s="6">
        <v>3358.12</v>
      </c>
      <c r="D19" s="6">
        <v>-2412.2600000000002</v>
      </c>
      <c r="E19" s="6">
        <f t="shared" si="0"/>
        <v>-2407.2600000000002</v>
      </c>
      <c r="F19" s="6">
        <f t="shared" si="1"/>
        <v>-2417.2600000000002</v>
      </c>
      <c r="H19" s="6">
        <f t="shared" si="2"/>
        <v>2777.86</v>
      </c>
      <c r="I19" s="6">
        <v>3358.12</v>
      </c>
      <c r="J19" s="6">
        <f t="shared" si="3"/>
        <v>2780.26</v>
      </c>
      <c r="K19" s="6">
        <f t="shared" si="4"/>
        <v>2785.26</v>
      </c>
      <c r="L19" s="6">
        <f t="shared" si="5"/>
        <v>2775.26</v>
      </c>
    </row>
    <row r="20" spans="2:12" x14ac:dyDescent="0.2">
      <c r="B20" s="6">
        <v>-2410.39</v>
      </c>
      <c r="C20" s="6">
        <v>3387.09</v>
      </c>
      <c r="D20" s="6">
        <v>-2412.66</v>
      </c>
      <c r="E20" s="6">
        <f t="shared" si="0"/>
        <v>-2407.66</v>
      </c>
      <c r="F20" s="6">
        <f t="shared" si="1"/>
        <v>-2417.66</v>
      </c>
      <c r="H20" s="6">
        <f t="shared" si="2"/>
        <v>2778.39</v>
      </c>
      <c r="I20" s="6">
        <v>3387.09</v>
      </c>
      <c r="J20" s="6">
        <f t="shared" si="3"/>
        <v>2780.66</v>
      </c>
      <c r="K20" s="6">
        <f t="shared" si="4"/>
        <v>2785.66</v>
      </c>
      <c r="L20" s="6">
        <f t="shared" si="5"/>
        <v>2775.66</v>
      </c>
    </row>
    <row r="21" spans="2:12" x14ac:dyDescent="0.2">
      <c r="B21" s="6">
        <v>-2410.65</v>
      </c>
      <c r="C21" s="6">
        <v>3416.2</v>
      </c>
      <c r="D21" s="6">
        <v>-2413.0700000000002</v>
      </c>
      <c r="E21" s="6">
        <f t="shared" si="0"/>
        <v>-2408.0700000000002</v>
      </c>
      <c r="F21" s="6">
        <f t="shared" si="1"/>
        <v>-2418.0700000000002</v>
      </c>
      <c r="H21" s="6">
        <f t="shared" si="2"/>
        <v>2778.65</v>
      </c>
      <c r="I21" s="6">
        <v>3416.2</v>
      </c>
      <c r="J21" s="6">
        <f t="shared" si="3"/>
        <v>2781.07</v>
      </c>
      <c r="K21" s="6">
        <f t="shared" si="4"/>
        <v>2786.07</v>
      </c>
      <c r="L21" s="6">
        <f t="shared" si="5"/>
        <v>2776.07</v>
      </c>
    </row>
    <row r="22" spans="2:12" x14ac:dyDescent="0.2">
      <c r="B22" s="6">
        <v>-2410.5</v>
      </c>
      <c r="C22" s="6">
        <v>3444.81</v>
      </c>
      <c r="D22" s="6">
        <v>-2412.9899999999998</v>
      </c>
      <c r="E22" s="6">
        <f t="shared" si="0"/>
        <v>-2407.9899999999998</v>
      </c>
      <c r="F22" s="6">
        <f t="shared" si="1"/>
        <v>-2417.9899999999998</v>
      </c>
      <c r="H22" s="6">
        <f t="shared" si="2"/>
        <v>2778.5</v>
      </c>
      <c r="I22" s="6">
        <v>3444.81</v>
      </c>
      <c r="J22" s="6">
        <f t="shared" si="3"/>
        <v>2780.99</v>
      </c>
      <c r="K22" s="6">
        <f t="shared" si="4"/>
        <v>2785.99</v>
      </c>
      <c r="L22" s="6">
        <f t="shared" si="5"/>
        <v>2775.99</v>
      </c>
    </row>
    <row r="23" spans="2:12" x14ac:dyDescent="0.2">
      <c r="B23" s="6">
        <v>-2410.33</v>
      </c>
      <c r="C23" s="6">
        <v>3474.08</v>
      </c>
      <c r="D23" s="6">
        <v>-2412.67</v>
      </c>
      <c r="E23" s="6">
        <f t="shared" si="0"/>
        <v>-2407.67</v>
      </c>
      <c r="F23" s="6">
        <f t="shared" si="1"/>
        <v>-2417.67</v>
      </c>
      <c r="H23" s="6">
        <f t="shared" si="2"/>
        <v>2778.33</v>
      </c>
      <c r="I23" s="6">
        <v>3474.08</v>
      </c>
      <c r="J23" s="6">
        <f t="shared" si="3"/>
        <v>2780.67</v>
      </c>
      <c r="K23" s="6">
        <f t="shared" si="4"/>
        <v>2785.67</v>
      </c>
      <c r="L23" s="6">
        <f t="shared" si="5"/>
        <v>2775.67</v>
      </c>
    </row>
    <row r="24" spans="2:12" x14ac:dyDescent="0.2">
      <c r="B24" s="6">
        <v>-2410.19</v>
      </c>
      <c r="C24" s="6">
        <v>3503.02</v>
      </c>
      <c r="D24" s="6">
        <v>-2412.85</v>
      </c>
      <c r="E24" s="6">
        <f t="shared" si="0"/>
        <v>-2407.85</v>
      </c>
      <c r="F24" s="6">
        <f t="shared" si="1"/>
        <v>-2417.85</v>
      </c>
      <c r="H24" s="6">
        <f t="shared" si="2"/>
        <v>2778.19</v>
      </c>
      <c r="I24" s="6">
        <v>3503.02</v>
      </c>
      <c r="J24" s="6">
        <f t="shared" si="3"/>
        <v>2780.85</v>
      </c>
      <c r="K24" s="6">
        <f t="shared" si="4"/>
        <v>2785.85</v>
      </c>
      <c r="L24" s="6">
        <f t="shared" si="5"/>
        <v>2775.85</v>
      </c>
    </row>
    <row r="25" spans="2:12" x14ac:dyDescent="0.2">
      <c r="B25" s="6">
        <v>-2410.36</v>
      </c>
      <c r="C25" s="6">
        <v>3532.14</v>
      </c>
      <c r="D25" s="6">
        <v>-2413.02</v>
      </c>
      <c r="E25" s="6">
        <f t="shared" si="0"/>
        <v>-2408.02</v>
      </c>
      <c r="F25" s="6">
        <f t="shared" si="1"/>
        <v>-2418.02</v>
      </c>
      <c r="H25" s="6">
        <f t="shared" si="2"/>
        <v>2778.36</v>
      </c>
      <c r="I25" s="6">
        <v>3532.14</v>
      </c>
      <c r="J25" s="6">
        <f t="shared" si="3"/>
        <v>2781.02</v>
      </c>
      <c r="K25" s="6">
        <f t="shared" si="4"/>
        <v>2786.02</v>
      </c>
      <c r="L25" s="6">
        <f t="shared" si="5"/>
        <v>2776.02</v>
      </c>
    </row>
    <row r="26" spans="2:12" x14ac:dyDescent="0.2">
      <c r="B26" s="6">
        <v>-2410.75</v>
      </c>
      <c r="C26" s="6">
        <v>3561.06</v>
      </c>
      <c r="D26" s="6">
        <v>-2413.31</v>
      </c>
      <c r="E26" s="6">
        <f t="shared" si="0"/>
        <v>-2408.31</v>
      </c>
      <c r="F26" s="6">
        <f t="shared" si="1"/>
        <v>-2418.31</v>
      </c>
      <c r="H26" s="6">
        <f t="shared" si="2"/>
        <v>2778.75</v>
      </c>
      <c r="I26" s="6">
        <v>3561.06</v>
      </c>
      <c r="J26" s="6">
        <f t="shared" si="3"/>
        <v>2781.31</v>
      </c>
      <c r="K26" s="6">
        <f t="shared" si="4"/>
        <v>2786.31</v>
      </c>
      <c r="L26" s="6">
        <f t="shared" si="5"/>
        <v>2776.31</v>
      </c>
    </row>
    <row r="27" spans="2:12" x14ac:dyDescent="0.2">
      <c r="B27" s="6">
        <v>-2410.94</v>
      </c>
      <c r="C27" s="6">
        <v>3590.09</v>
      </c>
      <c r="D27" s="6">
        <v>-2413.81</v>
      </c>
      <c r="E27" s="6">
        <f t="shared" si="0"/>
        <v>-2408.81</v>
      </c>
      <c r="F27" s="6">
        <f t="shared" si="1"/>
        <v>-2418.81</v>
      </c>
      <c r="H27" s="6">
        <f t="shared" si="2"/>
        <v>2778.94</v>
      </c>
      <c r="I27" s="6">
        <v>3590.09</v>
      </c>
      <c r="J27" s="6">
        <f t="shared" si="3"/>
        <v>2781.81</v>
      </c>
      <c r="K27" s="6">
        <f t="shared" si="4"/>
        <v>2786.81</v>
      </c>
      <c r="L27" s="6">
        <f t="shared" si="5"/>
        <v>2776.81</v>
      </c>
    </row>
    <row r="28" spans="2:12" x14ac:dyDescent="0.2">
      <c r="B28" s="6">
        <v>-2411.1799999999998</v>
      </c>
      <c r="C28" s="6">
        <v>3619.2</v>
      </c>
      <c r="D28" s="6">
        <v>-2414.31</v>
      </c>
      <c r="E28" s="6">
        <f t="shared" si="0"/>
        <v>-2409.31</v>
      </c>
      <c r="F28" s="6">
        <f t="shared" si="1"/>
        <v>-2419.31</v>
      </c>
      <c r="H28" s="6">
        <f t="shared" si="2"/>
        <v>2779.18</v>
      </c>
      <c r="I28" s="6">
        <v>3619.2</v>
      </c>
      <c r="J28" s="6">
        <f t="shared" si="3"/>
        <v>2782.31</v>
      </c>
      <c r="K28" s="6">
        <f t="shared" si="4"/>
        <v>2787.31</v>
      </c>
      <c r="L28" s="6">
        <f t="shared" si="5"/>
        <v>2777.31</v>
      </c>
    </row>
    <row r="29" spans="2:12" x14ac:dyDescent="0.2">
      <c r="B29" s="6">
        <v>-2411.56</v>
      </c>
      <c r="C29" s="6">
        <v>3648.08</v>
      </c>
      <c r="D29" s="6">
        <v>-2414.71</v>
      </c>
      <c r="E29" s="6">
        <f t="shared" si="0"/>
        <v>-2409.71</v>
      </c>
      <c r="F29" s="6">
        <f t="shared" si="1"/>
        <v>-2419.71</v>
      </c>
      <c r="H29" s="6">
        <f t="shared" si="2"/>
        <v>2779.56</v>
      </c>
      <c r="I29" s="6">
        <v>3648.08</v>
      </c>
      <c r="J29" s="6">
        <f t="shared" si="3"/>
        <v>2782.71</v>
      </c>
      <c r="K29" s="6">
        <f t="shared" si="4"/>
        <v>2787.71</v>
      </c>
      <c r="L29" s="6">
        <f t="shared" si="5"/>
        <v>2777.71</v>
      </c>
    </row>
    <row r="30" spans="2:12" x14ac:dyDescent="0.2">
      <c r="B30" s="6">
        <v>-2411.9499999999998</v>
      </c>
      <c r="C30" s="6">
        <v>3677.05</v>
      </c>
      <c r="D30" s="6">
        <v>-2415.11</v>
      </c>
      <c r="E30" s="6">
        <f t="shared" si="0"/>
        <v>-2410.11</v>
      </c>
      <c r="F30" s="6">
        <f t="shared" si="1"/>
        <v>-2420.11</v>
      </c>
      <c r="H30" s="6">
        <f t="shared" si="2"/>
        <v>2779.95</v>
      </c>
      <c r="I30" s="6">
        <v>3677.05</v>
      </c>
      <c r="J30" s="6">
        <f t="shared" si="3"/>
        <v>2783.11</v>
      </c>
      <c r="K30" s="6">
        <f t="shared" si="4"/>
        <v>2788.11</v>
      </c>
      <c r="L30" s="6">
        <f t="shared" si="5"/>
        <v>2778.11</v>
      </c>
    </row>
    <row r="31" spans="2:12" x14ac:dyDescent="0.2">
      <c r="B31" s="6">
        <v>-2412.34</v>
      </c>
      <c r="C31" s="6">
        <v>3706.03</v>
      </c>
      <c r="D31" s="6">
        <v>-2415.5100000000002</v>
      </c>
      <c r="E31" s="6">
        <f t="shared" si="0"/>
        <v>-2410.5100000000002</v>
      </c>
      <c r="F31" s="6">
        <f t="shared" si="1"/>
        <v>-2420.5100000000002</v>
      </c>
      <c r="H31" s="6">
        <f t="shared" si="2"/>
        <v>2780.34</v>
      </c>
      <c r="I31" s="6">
        <v>3706.03</v>
      </c>
      <c r="J31" s="6">
        <f t="shared" si="3"/>
        <v>2783.51</v>
      </c>
      <c r="K31" s="6">
        <f t="shared" si="4"/>
        <v>2788.51</v>
      </c>
      <c r="L31" s="6">
        <f t="shared" si="5"/>
        <v>2778.51</v>
      </c>
    </row>
    <row r="32" spans="2:12" x14ac:dyDescent="0.2">
      <c r="B32" s="6">
        <v>-2412.63</v>
      </c>
      <c r="C32" s="6">
        <v>3728.95</v>
      </c>
      <c r="D32" s="6">
        <v>-2415.8200000000002</v>
      </c>
      <c r="E32" s="6">
        <f t="shared" si="0"/>
        <v>-2410.8200000000002</v>
      </c>
      <c r="F32" s="6">
        <f t="shared" si="1"/>
        <v>-2420.8200000000002</v>
      </c>
      <c r="H32" s="6">
        <f t="shared" si="2"/>
        <v>2780.63</v>
      </c>
      <c r="I32" s="6">
        <v>3728.95</v>
      </c>
      <c r="J32" s="6">
        <f t="shared" si="3"/>
        <v>2783.82</v>
      </c>
      <c r="K32" s="6">
        <f t="shared" si="4"/>
        <v>2788.82</v>
      </c>
      <c r="L32" s="6">
        <f t="shared" si="5"/>
        <v>2778.82</v>
      </c>
    </row>
    <row r="33" spans="2:12" x14ac:dyDescent="0.2">
      <c r="B33" s="6">
        <v>-2413.0100000000002</v>
      </c>
      <c r="C33" s="6">
        <v>3758.4</v>
      </c>
      <c r="D33" s="6">
        <v>-2416.23</v>
      </c>
      <c r="E33" s="6">
        <f t="shared" si="0"/>
        <v>-2411.23</v>
      </c>
      <c r="F33" s="6">
        <f t="shared" si="1"/>
        <v>-2421.23</v>
      </c>
      <c r="H33" s="6">
        <f t="shared" si="2"/>
        <v>2781.01</v>
      </c>
      <c r="I33" s="6">
        <v>3758.4</v>
      </c>
      <c r="J33" s="6">
        <f t="shared" si="3"/>
        <v>2784.23</v>
      </c>
      <c r="K33" s="6">
        <f t="shared" si="4"/>
        <v>2789.23</v>
      </c>
      <c r="L33" s="6">
        <f t="shared" si="5"/>
        <v>2779.23</v>
      </c>
    </row>
    <row r="34" spans="2:12" x14ac:dyDescent="0.2">
      <c r="B34" s="6">
        <v>-2413.35</v>
      </c>
      <c r="C34" s="6">
        <v>3787.61</v>
      </c>
      <c r="D34" s="6">
        <v>-2416.63</v>
      </c>
      <c r="E34" s="6">
        <f t="shared" si="0"/>
        <v>-2411.63</v>
      </c>
      <c r="F34" s="6">
        <f t="shared" si="1"/>
        <v>-2421.63</v>
      </c>
      <c r="H34" s="6">
        <f t="shared" si="2"/>
        <v>2781.35</v>
      </c>
      <c r="I34" s="6">
        <v>3787.61</v>
      </c>
      <c r="J34" s="6">
        <f t="shared" si="3"/>
        <v>2784.63</v>
      </c>
      <c r="K34" s="6">
        <f t="shared" si="4"/>
        <v>2789.63</v>
      </c>
      <c r="L34" s="6">
        <f t="shared" si="5"/>
        <v>2779.63</v>
      </c>
    </row>
    <row r="35" spans="2:12" x14ac:dyDescent="0.2">
      <c r="B35" s="6">
        <v>-2413.6999999999998</v>
      </c>
      <c r="C35" s="6">
        <v>3816.51</v>
      </c>
      <c r="D35" s="6">
        <v>-2416.9899999999998</v>
      </c>
      <c r="E35" s="6">
        <f t="shared" si="0"/>
        <v>-2411.9899999999998</v>
      </c>
      <c r="F35" s="6">
        <f t="shared" si="1"/>
        <v>-2421.9899999999998</v>
      </c>
      <c r="H35" s="6">
        <f t="shared" si="2"/>
        <v>2781.7</v>
      </c>
      <c r="I35" s="6">
        <v>3816.51</v>
      </c>
      <c r="J35" s="6">
        <f t="shared" si="3"/>
        <v>2784.99</v>
      </c>
      <c r="K35" s="6">
        <f t="shared" si="4"/>
        <v>2789.99</v>
      </c>
      <c r="L35" s="6">
        <f t="shared" si="5"/>
        <v>2779.99</v>
      </c>
    </row>
    <row r="36" spans="2:12" x14ac:dyDescent="0.2">
      <c r="B36" s="6">
        <v>-2414.0300000000002</v>
      </c>
      <c r="C36" s="6">
        <v>3845.51</v>
      </c>
      <c r="D36" s="6">
        <v>-2417.04</v>
      </c>
      <c r="E36" s="6">
        <f t="shared" si="0"/>
        <v>-2412.04</v>
      </c>
      <c r="F36" s="6">
        <f t="shared" si="1"/>
        <v>-2422.04</v>
      </c>
      <c r="H36" s="6">
        <f t="shared" si="2"/>
        <v>2782.03</v>
      </c>
      <c r="I36" s="6">
        <v>3845.51</v>
      </c>
      <c r="J36" s="6">
        <f t="shared" si="3"/>
        <v>2785.04</v>
      </c>
      <c r="K36" s="6">
        <f t="shared" si="4"/>
        <v>2790.04</v>
      </c>
      <c r="L36" s="6">
        <f t="shared" si="5"/>
        <v>2780.04</v>
      </c>
    </row>
    <row r="37" spans="2:12" x14ac:dyDescent="0.2">
      <c r="B37" s="6">
        <v>-2414.3200000000002</v>
      </c>
      <c r="C37" s="6">
        <v>3874.44</v>
      </c>
      <c r="D37" s="6">
        <v>-2417.09</v>
      </c>
      <c r="E37" s="6">
        <f t="shared" si="0"/>
        <v>-2412.09</v>
      </c>
      <c r="F37" s="6">
        <f t="shared" si="1"/>
        <v>-2422.09</v>
      </c>
      <c r="H37" s="6">
        <f t="shared" si="2"/>
        <v>2782.32</v>
      </c>
      <c r="I37" s="6">
        <v>3874.44</v>
      </c>
      <c r="J37" s="6">
        <f t="shared" si="3"/>
        <v>2785.09</v>
      </c>
      <c r="K37" s="6">
        <f t="shared" si="4"/>
        <v>2790.09</v>
      </c>
      <c r="L37" s="6">
        <f t="shared" si="5"/>
        <v>2780.09</v>
      </c>
    </row>
    <row r="38" spans="2:12" x14ac:dyDescent="0.2">
      <c r="B38" s="6">
        <v>-2414.65</v>
      </c>
      <c r="C38" s="6">
        <v>3903.64</v>
      </c>
      <c r="D38" s="6">
        <v>-2417.4499999999998</v>
      </c>
      <c r="E38" s="6">
        <f t="shared" si="0"/>
        <v>-2412.4499999999998</v>
      </c>
      <c r="F38" s="6">
        <f t="shared" si="1"/>
        <v>-2422.4499999999998</v>
      </c>
      <c r="H38" s="6">
        <f t="shared" si="2"/>
        <v>2782.65</v>
      </c>
      <c r="I38" s="6">
        <v>3903.64</v>
      </c>
      <c r="J38" s="6">
        <f t="shared" si="3"/>
        <v>2785.45</v>
      </c>
      <c r="K38" s="6">
        <f t="shared" si="4"/>
        <v>2790.45</v>
      </c>
      <c r="L38" s="6">
        <f t="shared" si="5"/>
        <v>2780.45</v>
      </c>
    </row>
    <row r="39" spans="2:12" x14ac:dyDescent="0.2">
      <c r="B39" s="6">
        <v>-2415.0700000000002</v>
      </c>
      <c r="C39" s="6">
        <v>3932.38</v>
      </c>
      <c r="D39" s="6">
        <v>-2417.85</v>
      </c>
      <c r="E39" s="6">
        <f t="shared" si="0"/>
        <v>-2412.85</v>
      </c>
      <c r="F39" s="6">
        <f t="shared" si="1"/>
        <v>-2422.85</v>
      </c>
      <c r="H39" s="6">
        <f t="shared" si="2"/>
        <v>2783.07</v>
      </c>
      <c r="I39" s="6">
        <v>3932.38</v>
      </c>
      <c r="J39" s="6">
        <f t="shared" si="3"/>
        <v>2785.85</v>
      </c>
      <c r="K39" s="6">
        <f t="shared" si="4"/>
        <v>2790.85</v>
      </c>
      <c r="L39" s="6">
        <f t="shared" si="5"/>
        <v>2780.85</v>
      </c>
    </row>
    <row r="40" spans="2:12" x14ac:dyDescent="0.2">
      <c r="B40" s="6">
        <v>-2415.52</v>
      </c>
      <c r="C40" s="6">
        <v>3961.19</v>
      </c>
      <c r="D40" s="6">
        <v>-2418.25</v>
      </c>
      <c r="E40" s="6">
        <f t="shared" si="0"/>
        <v>-2413.25</v>
      </c>
      <c r="F40" s="6">
        <f t="shared" si="1"/>
        <v>-2423.25</v>
      </c>
      <c r="H40" s="6">
        <f t="shared" si="2"/>
        <v>2783.52</v>
      </c>
      <c r="I40" s="6">
        <v>3961.19</v>
      </c>
      <c r="J40" s="6">
        <f t="shared" si="3"/>
        <v>2786.25</v>
      </c>
      <c r="K40" s="6">
        <f t="shared" si="4"/>
        <v>2791.25</v>
      </c>
      <c r="L40" s="6">
        <f t="shared" si="5"/>
        <v>2781.25</v>
      </c>
    </row>
    <row r="41" spans="2:12" x14ac:dyDescent="0.2">
      <c r="B41" s="6">
        <v>-2415.92</v>
      </c>
      <c r="C41" s="6">
        <v>3990.21</v>
      </c>
      <c r="D41" s="6">
        <v>-2418.66</v>
      </c>
      <c r="E41" s="6">
        <f t="shared" si="0"/>
        <v>-2413.66</v>
      </c>
      <c r="F41" s="6">
        <f t="shared" si="1"/>
        <v>-2423.66</v>
      </c>
      <c r="H41" s="6">
        <f t="shared" si="2"/>
        <v>2783.92</v>
      </c>
      <c r="I41" s="6">
        <v>3990.21</v>
      </c>
      <c r="J41" s="6">
        <f t="shared" si="3"/>
        <v>2786.66</v>
      </c>
      <c r="K41" s="6">
        <f t="shared" si="4"/>
        <v>2791.66</v>
      </c>
      <c r="L41" s="6">
        <f t="shared" si="5"/>
        <v>2781.66</v>
      </c>
    </row>
    <row r="42" spans="2:12" x14ac:dyDescent="0.2">
      <c r="B42" s="6">
        <v>-2416.35</v>
      </c>
      <c r="C42" s="6">
        <v>4019.24</v>
      </c>
      <c r="D42" s="6">
        <v>-2419.0700000000002</v>
      </c>
      <c r="E42" s="6">
        <f t="shared" si="0"/>
        <v>-2414.0700000000002</v>
      </c>
      <c r="F42" s="6">
        <f t="shared" si="1"/>
        <v>-2424.0700000000002</v>
      </c>
      <c r="H42" s="6">
        <f t="shared" si="2"/>
        <v>2784.35</v>
      </c>
      <c r="I42" s="6">
        <v>4019.24</v>
      </c>
      <c r="J42" s="6">
        <f t="shared" si="3"/>
        <v>2787.07</v>
      </c>
      <c r="K42" s="6">
        <f t="shared" si="4"/>
        <v>2792.07</v>
      </c>
      <c r="L42" s="6">
        <f t="shared" si="5"/>
        <v>2782.07</v>
      </c>
    </row>
    <row r="43" spans="2:12" x14ac:dyDescent="0.2">
      <c r="B43" s="6">
        <v>-2416.7600000000002</v>
      </c>
      <c r="C43" s="6">
        <v>4048.23</v>
      </c>
      <c r="D43" s="6">
        <v>-2419.48</v>
      </c>
      <c r="E43" s="6">
        <f t="shared" si="0"/>
        <v>-2414.48</v>
      </c>
      <c r="F43" s="6">
        <f t="shared" si="1"/>
        <v>-2424.48</v>
      </c>
      <c r="H43" s="6">
        <f t="shared" si="2"/>
        <v>2784.76</v>
      </c>
      <c r="I43" s="6">
        <v>4048.23</v>
      </c>
      <c r="J43" s="6">
        <f t="shared" si="3"/>
        <v>2787.48</v>
      </c>
      <c r="K43" s="6">
        <f t="shared" si="4"/>
        <v>2792.48</v>
      </c>
      <c r="L43" s="6">
        <f t="shared" si="5"/>
        <v>2782.48</v>
      </c>
    </row>
    <row r="44" spans="2:12" x14ac:dyDescent="0.2">
      <c r="B44" s="6">
        <v>-2417.14</v>
      </c>
      <c r="C44" s="6">
        <v>4077.24</v>
      </c>
      <c r="D44" s="6">
        <v>-2419.88</v>
      </c>
      <c r="E44" s="6">
        <f t="shared" si="0"/>
        <v>-2414.88</v>
      </c>
      <c r="F44" s="6">
        <f t="shared" si="1"/>
        <v>-2424.88</v>
      </c>
      <c r="H44" s="6">
        <f t="shared" si="2"/>
        <v>2785.14</v>
      </c>
      <c r="I44" s="6">
        <v>4077.24</v>
      </c>
      <c r="J44" s="6">
        <f t="shared" si="3"/>
        <v>2787.88</v>
      </c>
      <c r="K44" s="6">
        <f t="shared" si="4"/>
        <v>2792.88</v>
      </c>
      <c r="L44" s="6">
        <f t="shared" si="5"/>
        <v>2782.88</v>
      </c>
    </row>
    <row r="45" spans="2:12" x14ac:dyDescent="0.2">
      <c r="B45" s="6">
        <v>-2417.5</v>
      </c>
      <c r="C45" s="6">
        <v>4106.13</v>
      </c>
      <c r="D45" s="6">
        <v>-2420.29</v>
      </c>
      <c r="E45" s="6">
        <f t="shared" si="0"/>
        <v>-2415.29</v>
      </c>
      <c r="F45" s="6">
        <f t="shared" si="1"/>
        <v>-2425.29</v>
      </c>
      <c r="H45" s="6">
        <f t="shared" si="2"/>
        <v>2785.5</v>
      </c>
      <c r="I45" s="6">
        <v>4106.13</v>
      </c>
      <c r="J45" s="6">
        <f t="shared" si="3"/>
        <v>2788.29</v>
      </c>
      <c r="K45" s="6">
        <f t="shared" si="4"/>
        <v>2793.29</v>
      </c>
      <c r="L45" s="6">
        <f t="shared" si="5"/>
        <v>2783.29</v>
      </c>
    </row>
    <row r="46" spans="2:12" x14ac:dyDescent="0.2">
      <c r="B46" s="6">
        <v>-2417.7800000000002</v>
      </c>
      <c r="C46" s="6">
        <v>4135.3</v>
      </c>
      <c r="D46" s="6">
        <v>-2420.6999999999998</v>
      </c>
      <c r="E46" s="6">
        <f t="shared" si="0"/>
        <v>-2415.6999999999998</v>
      </c>
      <c r="F46" s="6">
        <f t="shared" si="1"/>
        <v>-2425.6999999999998</v>
      </c>
      <c r="H46" s="6">
        <f t="shared" si="2"/>
        <v>2785.78</v>
      </c>
      <c r="I46" s="6">
        <v>4135.3</v>
      </c>
      <c r="J46" s="6">
        <f t="shared" si="3"/>
        <v>2788.7</v>
      </c>
      <c r="K46" s="6">
        <f t="shared" si="4"/>
        <v>2793.7</v>
      </c>
      <c r="L46" s="6">
        <f t="shared" si="5"/>
        <v>2783.7</v>
      </c>
    </row>
    <row r="47" spans="2:12" x14ac:dyDescent="0.2">
      <c r="B47" s="6">
        <v>-2418.1</v>
      </c>
      <c r="C47" s="6">
        <v>4164.16</v>
      </c>
      <c r="D47" s="6">
        <v>-2421.1</v>
      </c>
      <c r="E47" s="6">
        <f t="shared" si="0"/>
        <v>-2416.1</v>
      </c>
      <c r="F47" s="6">
        <f t="shared" si="1"/>
        <v>-2426.1</v>
      </c>
      <c r="H47" s="6">
        <f t="shared" si="2"/>
        <v>2786.1</v>
      </c>
      <c r="I47" s="6">
        <v>4164.16</v>
      </c>
      <c r="J47" s="6">
        <f t="shared" si="3"/>
        <v>2789.1</v>
      </c>
      <c r="K47" s="6">
        <f t="shared" si="4"/>
        <v>2794.1</v>
      </c>
      <c r="L47" s="6">
        <f t="shared" si="5"/>
        <v>2784.1</v>
      </c>
    </row>
    <row r="48" spans="2:12" x14ac:dyDescent="0.2">
      <c r="B48" s="6">
        <v>-2418.36</v>
      </c>
      <c r="C48" s="6">
        <v>4193.21</v>
      </c>
      <c r="D48" s="6">
        <v>-2421.21</v>
      </c>
      <c r="E48" s="6">
        <f t="shared" si="0"/>
        <v>-2416.21</v>
      </c>
      <c r="F48" s="6">
        <f t="shared" si="1"/>
        <v>-2426.21</v>
      </c>
      <c r="H48" s="6">
        <f t="shared" si="2"/>
        <v>2786.36</v>
      </c>
      <c r="I48" s="6">
        <v>4193.21</v>
      </c>
      <c r="J48" s="6">
        <f t="shared" si="3"/>
        <v>2789.21</v>
      </c>
      <c r="K48" s="6">
        <f t="shared" si="4"/>
        <v>2794.21</v>
      </c>
      <c r="L48" s="6">
        <f t="shared" si="5"/>
        <v>2784.21</v>
      </c>
    </row>
    <row r="49" spans="2:12" x14ac:dyDescent="0.2">
      <c r="B49" s="6">
        <v>-2418.2600000000002</v>
      </c>
      <c r="C49" s="6">
        <v>4221.84</v>
      </c>
      <c r="D49" s="6">
        <v>-2420.9699999999998</v>
      </c>
      <c r="E49" s="6">
        <f t="shared" si="0"/>
        <v>-2415.9699999999998</v>
      </c>
      <c r="F49" s="6">
        <f t="shared" si="1"/>
        <v>-2425.9699999999998</v>
      </c>
      <c r="H49" s="6">
        <f t="shared" si="2"/>
        <v>2786.26</v>
      </c>
      <c r="I49" s="6">
        <v>4221.84</v>
      </c>
      <c r="J49" s="6">
        <f t="shared" si="3"/>
        <v>2788.97</v>
      </c>
      <c r="K49" s="6">
        <f t="shared" si="4"/>
        <v>2793.97</v>
      </c>
      <c r="L49" s="6">
        <f t="shared" si="5"/>
        <v>2783.97</v>
      </c>
    </row>
    <row r="50" spans="2:12" x14ac:dyDescent="0.2">
      <c r="B50" s="6">
        <v>-2417.86</v>
      </c>
      <c r="C50" s="6">
        <v>4250.54</v>
      </c>
      <c r="D50" s="6">
        <v>-2420.73</v>
      </c>
      <c r="E50" s="6">
        <f t="shared" si="0"/>
        <v>-2415.73</v>
      </c>
      <c r="F50" s="6">
        <f t="shared" si="1"/>
        <v>-2425.73</v>
      </c>
      <c r="H50" s="6">
        <f t="shared" si="2"/>
        <v>2785.86</v>
      </c>
      <c r="I50" s="6">
        <v>4250.54</v>
      </c>
      <c r="J50" s="6">
        <f t="shared" si="3"/>
        <v>2788.73</v>
      </c>
      <c r="K50" s="6">
        <f t="shared" si="4"/>
        <v>2793.73</v>
      </c>
      <c r="L50" s="6">
        <f t="shared" si="5"/>
        <v>2783.73</v>
      </c>
    </row>
    <row r="51" spans="2:12" x14ac:dyDescent="0.2">
      <c r="B51" s="6">
        <v>-2417.52</v>
      </c>
      <c r="C51" s="6">
        <v>4279.54</v>
      </c>
      <c r="D51" s="6">
        <v>-2420.4899999999998</v>
      </c>
      <c r="E51" s="6">
        <f t="shared" si="0"/>
        <v>-2415.4899999999998</v>
      </c>
      <c r="F51" s="6">
        <f t="shared" si="1"/>
        <v>-2425.4899999999998</v>
      </c>
      <c r="H51" s="6">
        <f t="shared" si="2"/>
        <v>2785.52</v>
      </c>
      <c r="I51" s="6">
        <v>4279.54</v>
      </c>
      <c r="J51" s="6">
        <f t="shared" si="3"/>
        <v>2788.49</v>
      </c>
      <c r="K51" s="6">
        <f t="shared" si="4"/>
        <v>2793.49</v>
      </c>
      <c r="L51" s="6">
        <f t="shared" si="5"/>
        <v>2783.49</v>
      </c>
    </row>
    <row r="52" spans="2:12" x14ac:dyDescent="0.2">
      <c r="B52" s="6">
        <v>-2417.19</v>
      </c>
      <c r="C52" s="6">
        <v>4308.3900000000003</v>
      </c>
      <c r="D52" s="6">
        <v>-2420.38</v>
      </c>
      <c r="E52" s="6">
        <f t="shared" si="0"/>
        <v>-2415.38</v>
      </c>
      <c r="F52" s="6">
        <f t="shared" si="1"/>
        <v>-2425.38</v>
      </c>
      <c r="H52" s="6">
        <f t="shared" si="2"/>
        <v>2785.19</v>
      </c>
      <c r="I52" s="6">
        <v>4308.3900000000003</v>
      </c>
      <c r="J52" s="6">
        <f t="shared" si="3"/>
        <v>2788.38</v>
      </c>
      <c r="K52" s="6">
        <f t="shared" si="4"/>
        <v>2793.38</v>
      </c>
      <c r="L52" s="6">
        <f t="shared" si="5"/>
        <v>2783.38</v>
      </c>
    </row>
    <row r="53" spans="2:12" x14ac:dyDescent="0.2">
      <c r="B53" s="6">
        <v>-2416.73</v>
      </c>
      <c r="C53" s="6">
        <v>4337.3</v>
      </c>
      <c r="D53" s="6">
        <v>-2420.31</v>
      </c>
      <c r="E53" s="6">
        <f t="shared" si="0"/>
        <v>-2415.31</v>
      </c>
      <c r="F53" s="6">
        <f t="shared" si="1"/>
        <v>-2425.31</v>
      </c>
      <c r="H53" s="6">
        <f t="shared" si="2"/>
        <v>2784.73</v>
      </c>
      <c r="I53" s="6">
        <v>4337.3</v>
      </c>
      <c r="J53" s="6">
        <f t="shared" si="3"/>
        <v>2788.31</v>
      </c>
      <c r="K53" s="6">
        <f t="shared" si="4"/>
        <v>2793.31</v>
      </c>
      <c r="L53" s="6">
        <f t="shared" si="5"/>
        <v>2783.31</v>
      </c>
    </row>
    <row r="54" spans="2:12" x14ac:dyDescent="0.2">
      <c r="B54" s="6">
        <v>-2416.4699999999998</v>
      </c>
      <c r="C54" s="6">
        <v>4366.2</v>
      </c>
      <c r="D54" s="6">
        <v>-2420.2399999999998</v>
      </c>
      <c r="E54" s="6">
        <f t="shared" si="0"/>
        <v>-2415.2399999999998</v>
      </c>
      <c r="F54" s="6">
        <f t="shared" si="1"/>
        <v>-2425.2399999999998</v>
      </c>
      <c r="H54" s="6">
        <f t="shared" si="2"/>
        <v>2784.47</v>
      </c>
      <c r="I54" s="6">
        <v>4366.2</v>
      </c>
      <c r="J54" s="6">
        <f t="shared" si="3"/>
        <v>2788.24</v>
      </c>
      <c r="K54" s="6">
        <f t="shared" si="4"/>
        <v>2793.24</v>
      </c>
      <c r="L54" s="6">
        <f t="shared" si="5"/>
        <v>2783.24</v>
      </c>
    </row>
    <row r="55" spans="2:12" x14ac:dyDescent="0.2">
      <c r="B55" s="6">
        <v>-2416.5700000000002</v>
      </c>
      <c r="C55" s="6">
        <v>4395.0600000000004</v>
      </c>
      <c r="D55" s="6">
        <v>-2420.29</v>
      </c>
      <c r="E55" s="6">
        <f t="shared" si="0"/>
        <v>-2415.29</v>
      </c>
      <c r="F55" s="6">
        <f t="shared" si="1"/>
        <v>-2425.29</v>
      </c>
      <c r="H55" s="6">
        <f t="shared" si="2"/>
        <v>2784.57</v>
      </c>
      <c r="I55" s="6">
        <v>4395.0600000000004</v>
      </c>
      <c r="J55" s="6">
        <f t="shared" si="3"/>
        <v>2788.29</v>
      </c>
      <c r="K55" s="6">
        <f t="shared" si="4"/>
        <v>2793.29</v>
      </c>
      <c r="L55" s="6">
        <f t="shared" si="5"/>
        <v>2783.29</v>
      </c>
    </row>
    <row r="56" spans="2:12" x14ac:dyDescent="0.2">
      <c r="B56" s="6">
        <v>-2416.94</v>
      </c>
      <c r="C56" s="6">
        <v>4422.55</v>
      </c>
      <c r="D56" s="6">
        <v>-2420.34</v>
      </c>
      <c r="E56" s="6">
        <f t="shared" si="0"/>
        <v>-2415.34</v>
      </c>
      <c r="F56" s="6">
        <f t="shared" si="1"/>
        <v>-2425.34</v>
      </c>
      <c r="H56" s="6">
        <f t="shared" si="2"/>
        <v>2784.94</v>
      </c>
      <c r="I56" s="6">
        <v>4422.55</v>
      </c>
      <c r="J56" s="6">
        <f t="shared" si="3"/>
        <v>2788.34</v>
      </c>
      <c r="K56" s="6">
        <f t="shared" si="4"/>
        <v>2793.34</v>
      </c>
      <c r="L56" s="6">
        <f t="shared" si="5"/>
        <v>2783.34</v>
      </c>
    </row>
    <row r="57" spans="2:12" x14ac:dyDescent="0.2">
      <c r="B57" s="6">
        <v>-2417.36</v>
      </c>
      <c r="C57" s="6">
        <v>4450.58</v>
      </c>
      <c r="D57" s="6">
        <v>-2420.35</v>
      </c>
      <c r="E57" s="6">
        <f t="shared" si="0"/>
        <v>-2415.35</v>
      </c>
      <c r="F57" s="6">
        <f t="shared" si="1"/>
        <v>-2425.35</v>
      </c>
      <c r="H57" s="6">
        <f t="shared" si="2"/>
        <v>2785.36</v>
      </c>
      <c r="I57" s="6">
        <v>4450.58</v>
      </c>
      <c r="J57" s="6">
        <f t="shared" si="3"/>
        <v>2788.35</v>
      </c>
      <c r="K57" s="6">
        <f t="shared" si="4"/>
        <v>2793.35</v>
      </c>
      <c r="L57" s="6">
        <f t="shared" si="5"/>
        <v>2783.35</v>
      </c>
    </row>
    <row r="58" spans="2:12" x14ac:dyDescent="0.2">
      <c r="B58" s="6">
        <v>-2417.27</v>
      </c>
      <c r="C58" s="6">
        <v>4479.54</v>
      </c>
      <c r="D58" s="6">
        <v>-2420.11</v>
      </c>
      <c r="E58" s="6">
        <f t="shared" si="0"/>
        <v>-2415.11</v>
      </c>
      <c r="F58" s="6">
        <f t="shared" si="1"/>
        <v>-2425.11</v>
      </c>
      <c r="H58" s="6">
        <f t="shared" si="2"/>
        <v>2785.27</v>
      </c>
      <c r="I58" s="6">
        <v>4479.54</v>
      </c>
      <c r="J58" s="6">
        <f t="shared" si="3"/>
        <v>2788.11</v>
      </c>
      <c r="K58" s="6">
        <f t="shared" si="4"/>
        <v>2793.11</v>
      </c>
      <c r="L58" s="6">
        <f t="shared" si="5"/>
        <v>2783.11</v>
      </c>
    </row>
    <row r="59" spans="2:12" x14ac:dyDescent="0.2">
      <c r="B59" s="6">
        <v>-2417.17</v>
      </c>
      <c r="C59" s="6">
        <v>4508.28</v>
      </c>
      <c r="D59" s="6">
        <v>-2419.88</v>
      </c>
      <c r="E59" s="6">
        <f t="shared" si="0"/>
        <v>-2414.88</v>
      </c>
      <c r="F59" s="6">
        <f t="shared" si="1"/>
        <v>-2424.88</v>
      </c>
      <c r="H59" s="6">
        <f t="shared" si="2"/>
        <v>2785.17</v>
      </c>
      <c r="I59" s="6">
        <v>4508.28</v>
      </c>
      <c r="J59" s="6">
        <f t="shared" si="3"/>
        <v>2787.88</v>
      </c>
      <c r="K59" s="6">
        <f t="shared" si="4"/>
        <v>2792.88</v>
      </c>
      <c r="L59" s="6">
        <f t="shared" si="5"/>
        <v>2782.88</v>
      </c>
    </row>
    <row r="60" spans="2:12" x14ac:dyDescent="0.2">
      <c r="B60" s="6">
        <v>-2417.59</v>
      </c>
      <c r="C60" s="6">
        <v>4537.1400000000003</v>
      </c>
      <c r="D60" s="6">
        <v>-2419.66</v>
      </c>
      <c r="E60" s="6">
        <f t="shared" si="0"/>
        <v>-2414.66</v>
      </c>
      <c r="F60" s="6">
        <f t="shared" si="1"/>
        <v>-2424.66</v>
      </c>
      <c r="H60" s="6">
        <f t="shared" si="2"/>
        <v>2785.59</v>
      </c>
      <c r="I60" s="6">
        <v>4537.1400000000003</v>
      </c>
      <c r="J60" s="6">
        <f t="shared" si="3"/>
        <v>2787.66</v>
      </c>
      <c r="K60" s="6">
        <f t="shared" si="4"/>
        <v>2792.66</v>
      </c>
      <c r="L60" s="6">
        <f t="shared" si="5"/>
        <v>2782.66</v>
      </c>
    </row>
    <row r="61" spans="2:12" x14ac:dyDescent="0.2">
      <c r="B61" s="6">
        <v>-2417.7800000000002</v>
      </c>
      <c r="C61" s="6">
        <v>4565.9399999999996</v>
      </c>
      <c r="D61" s="6">
        <v>-2419.4499999999998</v>
      </c>
      <c r="E61" s="6">
        <f t="shared" si="0"/>
        <v>-2414.4499999999998</v>
      </c>
      <c r="F61" s="6">
        <f t="shared" si="1"/>
        <v>-2424.4499999999998</v>
      </c>
      <c r="H61" s="6">
        <f t="shared" si="2"/>
        <v>2785.78</v>
      </c>
      <c r="I61" s="6">
        <v>4565.9399999999996</v>
      </c>
      <c r="J61" s="6">
        <f t="shared" si="3"/>
        <v>2787.45</v>
      </c>
      <c r="K61" s="6">
        <f t="shared" si="4"/>
        <v>2792.45</v>
      </c>
      <c r="L61" s="6">
        <f t="shared" si="5"/>
        <v>2782.45</v>
      </c>
    </row>
    <row r="62" spans="2:12" x14ac:dyDescent="0.2">
      <c r="B62" s="6">
        <v>-2417.5700000000002</v>
      </c>
      <c r="C62" s="6">
        <v>4595.1499999999996</v>
      </c>
      <c r="D62" s="6">
        <v>-2419.23</v>
      </c>
      <c r="E62" s="6">
        <f t="shared" si="0"/>
        <v>-2414.23</v>
      </c>
      <c r="F62" s="6">
        <f t="shared" si="1"/>
        <v>-2424.23</v>
      </c>
      <c r="H62" s="6">
        <f t="shared" si="2"/>
        <v>2785.57</v>
      </c>
      <c r="I62" s="6">
        <v>4595.1499999999996</v>
      </c>
      <c r="J62" s="6">
        <f t="shared" si="3"/>
        <v>2787.23</v>
      </c>
      <c r="K62" s="6">
        <f t="shared" si="4"/>
        <v>2792.23</v>
      </c>
      <c r="L62" s="6">
        <f t="shared" si="5"/>
        <v>2782.23</v>
      </c>
    </row>
    <row r="63" spans="2:12" x14ac:dyDescent="0.2">
      <c r="B63" s="6">
        <v>-2417.4299999999998</v>
      </c>
      <c r="C63" s="6">
        <v>4624.01</v>
      </c>
      <c r="D63" s="6">
        <v>-2419.13</v>
      </c>
      <c r="E63" s="6">
        <f t="shared" si="0"/>
        <v>-2414.13</v>
      </c>
      <c r="F63" s="6">
        <f t="shared" si="1"/>
        <v>-2424.13</v>
      </c>
      <c r="H63" s="6">
        <f t="shared" si="2"/>
        <v>2785.43</v>
      </c>
      <c r="I63" s="6">
        <v>4624.01</v>
      </c>
      <c r="J63" s="6">
        <f t="shared" si="3"/>
        <v>2787.13</v>
      </c>
      <c r="K63" s="6">
        <f t="shared" si="4"/>
        <v>2792.13</v>
      </c>
      <c r="L63" s="6">
        <f t="shared" si="5"/>
        <v>2782.13</v>
      </c>
    </row>
    <row r="64" spans="2:12" x14ac:dyDescent="0.2">
      <c r="B64" s="6">
        <v>-2417.41</v>
      </c>
      <c r="C64" s="6">
        <v>4652.8999999999996</v>
      </c>
      <c r="D64" s="6">
        <v>-2419.09</v>
      </c>
      <c r="E64" s="6">
        <f t="shared" si="0"/>
        <v>-2414.09</v>
      </c>
      <c r="F64" s="6">
        <f t="shared" si="1"/>
        <v>-2424.09</v>
      </c>
      <c r="H64" s="6">
        <f t="shared" si="2"/>
        <v>2785.41</v>
      </c>
      <c r="I64" s="6">
        <v>4652.8999999999996</v>
      </c>
      <c r="J64" s="6">
        <f t="shared" si="3"/>
        <v>2787.09</v>
      </c>
      <c r="K64" s="6">
        <f t="shared" si="4"/>
        <v>2792.09</v>
      </c>
      <c r="L64" s="6">
        <f t="shared" si="5"/>
        <v>2782.09</v>
      </c>
    </row>
    <row r="65" spans="2:12" x14ac:dyDescent="0.2">
      <c r="B65" s="6">
        <v>-2417.4299999999998</v>
      </c>
      <c r="C65" s="6">
        <v>4681.88</v>
      </c>
      <c r="D65" s="6">
        <v>-2419.0500000000002</v>
      </c>
      <c r="E65" s="6">
        <f t="shared" si="0"/>
        <v>-2414.0500000000002</v>
      </c>
      <c r="F65" s="6">
        <f t="shared" si="1"/>
        <v>-2424.0500000000002</v>
      </c>
      <c r="H65" s="6">
        <f t="shared" si="2"/>
        <v>2785.43</v>
      </c>
      <c r="I65" s="6">
        <v>4681.88</v>
      </c>
      <c r="J65" s="6">
        <f t="shared" si="3"/>
        <v>2787.05</v>
      </c>
      <c r="K65" s="6">
        <f t="shared" si="4"/>
        <v>2792.05</v>
      </c>
      <c r="L65" s="6">
        <f t="shared" si="5"/>
        <v>2782.05</v>
      </c>
    </row>
    <row r="66" spans="2:12" x14ac:dyDescent="0.2">
      <c r="B66" s="6">
        <v>-2417.35</v>
      </c>
      <c r="C66" s="6">
        <v>4710.72</v>
      </c>
      <c r="D66" s="6">
        <v>-2419</v>
      </c>
      <c r="E66" s="6">
        <f t="shared" si="0"/>
        <v>-2414</v>
      </c>
      <c r="F66" s="6">
        <f t="shared" si="1"/>
        <v>-2424</v>
      </c>
      <c r="H66" s="6">
        <f t="shared" si="2"/>
        <v>2785.35</v>
      </c>
      <c r="I66" s="6">
        <v>4710.72</v>
      </c>
      <c r="J66" s="6">
        <f t="shared" si="3"/>
        <v>2787</v>
      </c>
      <c r="K66" s="6">
        <f t="shared" si="4"/>
        <v>2792</v>
      </c>
      <c r="L66" s="6">
        <f t="shared" si="5"/>
        <v>2782</v>
      </c>
    </row>
    <row r="67" spans="2:12" x14ac:dyDescent="0.2">
      <c r="B67" s="6">
        <v>-2417.08</v>
      </c>
      <c r="C67" s="6">
        <v>4739.87</v>
      </c>
      <c r="D67" s="6">
        <v>-2418.81</v>
      </c>
      <c r="E67" s="6">
        <f t="shared" si="0"/>
        <v>-2413.81</v>
      </c>
      <c r="F67" s="6">
        <f t="shared" si="1"/>
        <v>-2423.81</v>
      </c>
      <c r="H67" s="6">
        <f t="shared" si="2"/>
        <v>2785.08</v>
      </c>
      <c r="I67" s="6">
        <v>4739.87</v>
      </c>
      <c r="J67" s="6">
        <f t="shared" si="3"/>
        <v>2786.81</v>
      </c>
      <c r="K67" s="6">
        <f t="shared" si="4"/>
        <v>2791.81</v>
      </c>
      <c r="L67" s="6">
        <f t="shared" si="5"/>
        <v>2781.81</v>
      </c>
    </row>
    <row r="68" spans="2:12" x14ac:dyDescent="0.2">
      <c r="B68" s="6">
        <v>-2417.36</v>
      </c>
      <c r="C68" s="6">
        <v>4768.9799999999996</v>
      </c>
      <c r="D68" s="6">
        <v>-2418.4299999999998</v>
      </c>
      <c r="E68" s="6">
        <f t="shared" si="0"/>
        <v>-2413.4299999999998</v>
      </c>
      <c r="F68" s="6">
        <f t="shared" si="1"/>
        <v>-2423.4299999999998</v>
      </c>
      <c r="H68" s="6">
        <f t="shared" si="2"/>
        <v>2785.36</v>
      </c>
      <c r="I68" s="6">
        <v>4768.9799999999996</v>
      </c>
      <c r="J68" s="6">
        <f t="shared" si="3"/>
        <v>2786.43</v>
      </c>
      <c r="K68" s="6">
        <f t="shared" si="4"/>
        <v>2791.43</v>
      </c>
      <c r="L68" s="6">
        <f t="shared" si="5"/>
        <v>2781.43</v>
      </c>
    </row>
    <row r="69" spans="2:12" x14ac:dyDescent="0.2">
      <c r="B69" s="6">
        <v>-2417.87</v>
      </c>
      <c r="C69" s="6">
        <v>4797.76</v>
      </c>
      <c r="D69" s="6">
        <v>-2418.36</v>
      </c>
      <c r="E69" s="6">
        <f t="shared" si="0"/>
        <v>-2413.36</v>
      </c>
      <c r="F69" s="6">
        <f t="shared" si="1"/>
        <v>-2423.36</v>
      </c>
      <c r="H69" s="6">
        <f t="shared" si="2"/>
        <v>2785.87</v>
      </c>
      <c r="I69" s="6">
        <v>4797.76</v>
      </c>
      <c r="J69" s="6">
        <f t="shared" si="3"/>
        <v>2786.36</v>
      </c>
      <c r="K69" s="6">
        <f t="shared" si="4"/>
        <v>2791.36</v>
      </c>
      <c r="L69" s="6">
        <f t="shared" si="5"/>
        <v>2781.36</v>
      </c>
    </row>
    <row r="70" spans="2:12" x14ac:dyDescent="0.2">
      <c r="B70" s="6">
        <v>-2418.1999999999998</v>
      </c>
      <c r="C70" s="6">
        <v>4826.84</v>
      </c>
      <c r="D70" s="6">
        <v>-2418.56</v>
      </c>
      <c r="E70" s="6">
        <f t="shared" ref="E70:E94" si="6">D70+5</f>
        <v>-2413.56</v>
      </c>
      <c r="F70" s="6">
        <f t="shared" ref="F70:F94" si="7">D70-5</f>
        <v>-2423.56</v>
      </c>
      <c r="H70" s="6">
        <f t="shared" ref="H70:H94" si="8">ABS(B70-$O$2)</f>
        <v>2786.2</v>
      </c>
      <c r="I70" s="6">
        <v>4826.84</v>
      </c>
      <c r="J70" s="6">
        <f t="shared" ref="J70:J94" si="9">ABS(D70-$O$2)</f>
        <v>2786.56</v>
      </c>
      <c r="K70" s="6">
        <f t="shared" ref="K70:K94" si="10">J70+5</f>
        <v>2791.56</v>
      </c>
      <c r="L70" s="6">
        <f t="shared" ref="L70:L94" si="11">J70-5</f>
        <v>2781.56</v>
      </c>
    </row>
    <row r="71" spans="2:12" x14ac:dyDescent="0.2">
      <c r="B71" s="6">
        <v>-2418.6799999999998</v>
      </c>
      <c r="C71" s="6">
        <v>4855.8500000000004</v>
      </c>
      <c r="D71" s="6">
        <v>-2418.7600000000002</v>
      </c>
      <c r="E71" s="6">
        <f t="shared" si="6"/>
        <v>-2413.7600000000002</v>
      </c>
      <c r="F71" s="6">
        <f t="shared" si="7"/>
        <v>-2423.7600000000002</v>
      </c>
      <c r="H71" s="6">
        <f t="shared" si="8"/>
        <v>2786.68</v>
      </c>
      <c r="I71" s="6">
        <v>4855.8500000000004</v>
      </c>
      <c r="J71" s="6">
        <f t="shared" si="9"/>
        <v>2786.76</v>
      </c>
      <c r="K71" s="6">
        <f t="shared" si="10"/>
        <v>2791.76</v>
      </c>
      <c r="L71" s="6">
        <f t="shared" si="11"/>
        <v>2781.76</v>
      </c>
    </row>
    <row r="72" spans="2:12" x14ac:dyDescent="0.2">
      <c r="B72" s="6">
        <v>-2419.12</v>
      </c>
      <c r="C72" s="6">
        <v>4885.0200000000004</v>
      </c>
      <c r="D72" s="6">
        <v>-2418.9299999999998</v>
      </c>
      <c r="E72" s="6">
        <f t="shared" si="6"/>
        <v>-2413.9299999999998</v>
      </c>
      <c r="F72" s="6">
        <f t="shared" si="7"/>
        <v>-2423.9299999999998</v>
      </c>
      <c r="H72" s="6">
        <f t="shared" si="8"/>
        <v>2787.12</v>
      </c>
      <c r="I72" s="6">
        <v>4885.0200000000004</v>
      </c>
      <c r="J72" s="6">
        <f t="shared" si="9"/>
        <v>2786.93</v>
      </c>
      <c r="K72" s="6">
        <f t="shared" si="10"/>
        <v>2791.93</v>
      </c>
      <c r="L72" s="6">
        <f t="shared" si="11"/>
        <v>2781.93</v>
      </c>
    </row>
    <row r="73" spans="2:12" x14ac:dyDescent="0.2">
      <c r="B73" s="6">
        <v>-2419.3000000000002</v>
      </c>
      <c r="C73" s="6">
        <v>4913.55</v>
      </c>
      <c r="D73" s="6">
        <v>-2419.0700000000002</v>
      </c>
      <c r="E73" s="6">
        <f t="shared" si="6"/>
        <v>-2414.0700000000002</v>
      </c>
      <c r="F73" s="6">
        <f t="shared" si="7"/>
        <v>-2424.0700000000002</v>
      </c>
      <c r="H73" s="6">
        <f t="shared" si="8"/>
        <v>2787.3</v>
      </c>
      <c r="I73" s="6">
        <v>4913.55</v>
      </c>
      <c r="J73" s="6">
        <f t="shared" si="9"/>
        <v>2787.07</v>
      </c>
      <c r="K73" s="6">
        <f t="shared" si="10"/>
        <v>2792.07</v>
      </c>
      <c r="L73" s="6">
        <f t="shared" si="11"/>
        <v>2782.07</v>
      </c>
    </row>
    <row r="74" spans="2:12" x14ac:dyDescent="0.2">
      <c r="B74" s="6">
        <v>-2419.06</v>
      </c>
      <c r="C74" s="6">
        <v>4942.6400000000003</v>
      </c>
      <c r="D74" s="6">
        <v>-2418.9899999999998</v>
      </c>
      <c r="E74" s="6">
        <f t="shared" si="6"/>
        <v>-2413.9899999999998</v>
      </c>
      <c r="F74" s="6">
        <f t="shared" si="7"/>
        <v>-2423.9899999999998</v>
      </c>
      <c r="H74" s="6">
        <f t="shared" si="8"/>
        <v>2787.06</v>
      </c>
      <c r="I74" s="6">
        <v>4942.6400000000003</v>
      </c>
      <c r="J74" s="6">
        <f t="shared" si="9"/>
        <v>2786.99</v>
      </c>
      <c r="K74" s="6">
        <f t="shared" si="10"/>
        <v>2791.99</v>
      </c>
      <c r="L74" s="6">
        <f t="shared" si="11"/>
        <v>2781.99</v>
      </c>
    </row>
    <row r="75" spans="2:12" x14ac:dyDescent="0.2">
      <c r="B75" s="6">
        <v>-2418.7600000000002</v>
      </c>
      <c r="C75" s="6">
        <v>4971.1099999999997</v>
      </c>
      <c r="D75" s="6">
        <v>-2418.71</v>
      </c>
      <c r="E75" s="6">
        <f t="shared" si="6"/>
        <v>-2413.71</v>
      </c>
      <c r="F75" s="6">
        <f t="shared" si="7"/>
        <v>-2423.71</v>
      </c>
      <c r="H75" s="6">
        <f t="shared" si="8"/>
        <v>2786.76</v>
      </c>
      <c r="I75" s="6">
        <v>4971.1099999999997</v>
      </c>
      <c r="J75" s="6">
        <f t="shared" si="9"/>
        <v>2786.71</v>
      </c>
      <c r="K75" s="6">
        <f t="shared" si="10"/>
        <v>2791.71</v>
      </c>
      <c r="L75" s="6">
        <f t="shared" si="11"/>
        <v>2781.71</v>
      </c>
    </row>
    <row r="76" spans="2:12" x14ac:dyDescent="0.2">
      <c r="B76" s="6">
        <v>-2418.42</v>
      </c>
      <c r="C76" s="6">
        <v>5000.5200000000004</v>
      </c>
      <c r="D76" s="6">
        <v>-2418.42</v>
      </c>
      <c r="E76" s="6">
        <f t="shared" si="6"/>
        <v>-2413.42</v>
      </c>
      <c r="F76" s="6">
        <f t="shared" si="7"/>
        <v>-2423.42</v>
      </c>
      <c r="H76" s="6">
        <f t="shared" si="8"/>
        <v>2786.42</v>
      </c>
      <c r="I76" s="6">
        <v>5000.5200000000004</v>
      </c>
      <c r="J76" s="6">
        <f t="shared" si="9"/>
        <v>2786.42</v>
      </c>
      <c r="K76" s="6">
        <f t="shared" si="10"/>
        <v>2791.42</v>
      </c>
      <c r="L76" s="6">
        <f t="shared" si="11"/>
        <v>2781.42</v>
      </c>
    </row>
    <row r="77" spans="2:12" x14ac:dyDescent="0.2">
      <c r="B77" s="6">
        <v>-2418.33</v>
      </c>
      <c r="C77" s="6">
        <v>5029.5200000000004</v>
      </c>
      <c r="D77" s="6">
        <v>-2418.14</v>
      </c>
      <c r="E77" s="6">
        <f t="shared" si="6"/>
        <v>-2413.14</v>
      </c>
      <c r="F77" s="6">
        <f t="shared" si="7"/>
        <v>-2423.14</v>
      </c>
      <c r="H77" s="6">
        <f t="shared" si="8"/>
        <v>2786.33</v>
      </c>
      <c r="I77" s="6">
        <v>5029.5200000000004</v>
      </c>
      <c r="J77" s="6">
        <f t="shared" si="9"/>
        <v>2786.14</v>
      </c>
      <c r="K77" s="6">
        <f t="shared" si="10"/>
        <v>2791.14</v>
      </c>
      <c r="L77" s="6">
        <f t="shared" si="11"/>
        <v>2781.14</v>
      </c>
    </row>
    <row r="78" spans="2:12" x14ac:dyDescent="0.2">
      <c r="B78" s="6">
        <v>-2418.62</v>
      </c>
      <c r="C78" s="6">
        <v>5057.6499999999996</v>
      </c>
      <c r="D78" s="6">
        <v>-2418.06</v>
      </c>
      <c r="E78" s="6">
        <f t="shared" si="6"/>
        <v>-2413.06</v>
      </c>
      <c r="F78" s="6">
        <f t="shared" si="7"/>
        <v>-2423.06</v>
      </c>
      <c r="H78" s="6">
        <f t="shared" si="8"/>
        <v>2786.62</v>
      </c>
      <c r="I78" s="6">
        <v>5057.6499999999996</v>
      </c>
      <c r="J78" s="6">
        <f t="shared" si="9"/>
        <v>2786.06</v>
      </c>
      <c r="K78" s="6">
        <f t="shared" si="10"/>
        <v>2791.06</v>
      </c>
      <c r="L78" s="6">
        <f t="shared" si="11"/>
        <v>2781.06</v>
      </c>
    </row>
    <row r="79" spans="2:12" x14ac:dyDescent="0.2">
      <c r="B79" s="6">
        <v>-2418.71</v>
      </c>
      <c r="C79" s="6">
        <v>5085.29</v>
      </c>
      <c r="D79" s="6">
        <v>-2418.0100000000002</v>
      </c>
      <c r="E79" s="6">
        <f t="shared" si="6"/>
        <v>-2413.0100000000002</v>
      </c>
      <c r="F79" s="6">
        <f t="shared" si="7"/>
        <v>-2423.0100000000002</v>
      </c>
      <c r="H79" s="6">
        <f t="shared" si="8"/>
        <v>2786.71</v>
      </c>
      <c r="I79" s="6">
        <v>5085.29</v>
      </c>
      <c r="J79" s="6">
        <f t="shared" si="9"/>
        <v>2786.01</v>
      </c>
      <c r="K79" s="6">
        <f t="shared" si="10"/>
        <v>2791.01</v>
      </c>
      <c r="L79" s="6">
        <f t="shared" si="11"/>
        <v>2781.01</v>
      </c>
    </row>
    <row r="80" spans="2:12" x14ac:dyDescent="0.2">
      <c r="B80" s="6">
        <v>-2418.44</v>
      </c>
      <c r="C80" s="6">
        <v>5114.55</v>
      </c>
      <c r="D80" s="6">
        <v>-2417.9699999999998</v>
      </c>
      <c r="E80" s="6">
        <f t="shared" si="6"/>
        <v>-2412.9699999999998</v>
      </c>
      <c r="F80" s="6">
        <f t="shared" si="7"/>
        <v>-2422.9699999999998</v>
      </c>
      <c r="H80" s="6">
        <f t="shared" si="8"/>
        <v>2786.44</v>
      </c>
      <c r="I80" s="6">
        <v>5114.55</v>
      </c>
      <c r="J80" s="6">
        <f t="shared" si="9"/>
        <v>2785.97</v>
      </c>
      <c r="K80" s="6">
        <f t="shared" si="10"/>
        <v>2790.97</v>
      </c>
      <c r="L80" s="6">
        <f t="shared" si="11"/>
        <v>2780.97</v>
      </c>
    </row>
    <row r="81" spans="2:12" x14ac:dyDescent="0.2">
      <c r="B81" s="6">
        <v>-2417.9499999999998</v>
      </c>
      <c r="C81" s="6">
        <v>5143.82</v>
      </c>
      <c r="D81" s="6">
        <v>-2417.85</v>
      </c>
      <c r="E81" s="6">
        <f t="shared" si="6"/>
        <v>-2412.85</v>
      </c>
      <c r="F81" s="6">
        <f t="shared" si="7"/>
        <v>-2422.85</v>
      </c>
      <c r="H81" s="6">
        <f t="shared" si="8"/>
        <v>2785.95</v>
      </c>
      <c r="I81" s="6">
        <v>5143.82</v>
      </c>
      <c r="J81" s="6">
        <f t="shared" si="9"/>
        <v>2785.85</v>
      </c>
      <c r="K81" s="6">
        <f t="shared" si="10"/>
        <v>2790.85</v>
      </c>
      <c r="L81" s="6">
        <f t="shared" si="11"/>
        <v>2780.85</v>
      </c>
    </row>
    <row r="82" spans="2:12" x14ac:dyDescent="0.2">
      <c r="B82" s="6">
        <v>-2417.8200000000002</v>
      </c>
      <c r="C82" s="6">
        <v>5172.68</v>
      </c>
      <c r="D82" s="6">
        <v>-2417.64</v>
      </c>
      <c r="E82" s="6">
        <f t="shared" si="6"/>
        <v>-2412.64</v>
      </c>
      <c r="F82" s="6">
        <f t="shared" si="7"/>
        <v>-2422.64</v>
      </c>
      <c r="H82" s="6">
        <f t="shared" si="8"/>
        <v>2785.82</v>
      </c>
      <c r="I82" s="6">
        <v>5172.68</v>
      </c>
      <c r="J82" s="6">
        <f t="shared" si="9"/>
        <v>2785.64</v>
      </c>
      <c r="K82" s="6">
        <f t="shared" si="10"/>
        <v>2790.64</v>
      </c>
      <c r="L82" s="6">
        <f t="shared" si="11"/>
        <v>2780.64</v>
      </c>
    </row>
    <row r="83" spans="2:12" x14ac:dyDescent="0.2">
      <c r="B83" s="6">
        <v>-2418.0300000000002</v>
      </c>
      <c r="C83" s="6">
        <v>5201.7</v>
      </c>
      <c r="D83" s="6">
        <v>-2417.42</v>
      </c>
      <c r="E83" s="6">
        <f t="shared" si="6"/>
        <v>-2412.42</v>
      </c>
      <c r="F83" s="6">
        <f t="shared" si="7"/>
        <v>-2422.42</v>
      </c>
      <c r="H83" s="6">
        <f t="shared" si="8"/>
        <v>2786.03</v>
      </c>
      <c r="I83" s="6">
        <v>5201.7</v>
      </c>
      <c r="J83" s="6">
        <f t="shared" si="9"/>
        <v>2785.42</v>
      </c>
      <c r="K83" s="6">
        <f t="shared" si="10"/>
        <v>2790.42</v>
      </c>
      <c r="L83" s="6">
        <f t="shared" si="11"/>
        <v>2780.42</v>
      </c>
    </row>
    <row r="84" spans="2:12" x14ac:dyDescent="0.2">
      <c r="B84" s="6">
        <v>-2417.7399999999998</v>
      </c>
      <c r="C84" s="6">
        <v>5230.72</v>
      </c>
      <c r="D84" s="6">
        <v>-2416.89</v>
      </c>
      <c r="E84" s="6">
        <f t="shared" si="6"/>
        <v>-2411.89</v>
      </c>
      <c r="F84" s="6">
        <f t="shared" si="7"/>
        <v>-2421.89</v>
      </c>
      <c r="H84" s="6">
        <f t="shared" si="8"/>
        <v>2785.74</v>
      </c>
      <c r="I84" s="6">
        <v>5230.72</v>
      </c>
      <c r="J84" s="6">
        <f t="shared" si="9"/>
        <v>2784.89</v>
      </c>
      <c r="K84" s="6">
        <f t="shared" si="10"/>
        <v>2789.89</v>
      </c>
      <c r="L84" s="6">
        <f t="shared" si="11"/>
        <v>2779.89</v>
      </c>
    </row>
    <row r="85" spans="2:12" x14ac:dyDescent="0.2">
      <c r="B85" s="6">
        <v>-2417.11</v>
      </c>
      <c r="C85" s="6">
        <v>5259.84</v>
      </c>
      <c r="D85" s="6">
        <v>-2416.23</v>
      </c>
      <c r="E85" s="6">
        <f t="shared" si="6"/>
        <v>-2411.23</v>
      </c>
      <c r="F85" s="6">
        <f t="shared" si="7"/>
        <v>-2421.23</v>
      </c>
      <c r="H85" s="6">
        <f t="shared" si="8"/>
        <v>2785.11</v>
      </c>
      <c r="I85" s="6">
        <v>5259.84</v>
      </c>
      <c r="J85" s="6">
        <f t="shared" si="9"/>
        <v>2784.23</v>
      </c>
      <c r="K85" s="6">
        <f t="shared" si="10"/>
        <v>2789.23</v>
      </c>
      <c r="L85" s="6">
        <f t="shared" si="11"/>
        <v>2779.23</v>
      </c>
    </row>
    <row r="86" spans="2:12" x14ac:dyDescent="0.2">
      <c r="B86" s="6">
        <v>-2416.48</v>
      </c>
      <c r="C86" s="6">
        <v>5289.38</v>
      </c>
      <c r="D86" s="6">
        <v>-2415.59</v>
      </c>
      <c r="E86" s="6">
        <f t="shared" si="6"/>
        <v>-2410.59</v>
      </c>
      <c r="F86" s="6">
        <f t="shared" si="7"/>
        <v>-2420.59</v>
      </c>
      <c r="H86" s="6">
        <f t="shared" si="8"/>
        <v>2784.48</v>
      </c>
      <c r="I86" s="6">
        <v>5289.38</v>
      </c>
      <c r="J86" s="6">
        <f t="shared" si="9"/>
        <v>2783.59</v>
      </c>
      <c r="K86" s="6">
        <f t="shared" si="10"/>
        <v>2788.59</v>
      </c>
      <c r="L86" s="6">
        <f t="shared" si="11"/>
        <v>2778.59</v>
      </c>
    </row>
    <row r="87" spans="2:12" x14ac:dyDescent="0.2">
      <c r="B87" s="6">
        <v>-2415.8000000000002</v>
      </c>
      <c r="C87" s="6">
        <v>5318.84</v>
      </c>
      <c r="D87" s="6">
        <v>-2414.9899999999998</v>
      </c>
      <c r="E87" s="6">
        <f t="shared" si="6"/>
        <v>-2409.9899999999998</v>
      </c>
      <c r="F87" s="6">
        <f t="shared" si="7"/>
        <v>-2419.9899999999998</v>
      </c>
      <c r="H87" s="6">
        <f t="shared" si="8"/>
        <v>2783.8</v>
      </c>
      <c r="I87" s="6">
        <v>5318.84</v>
      </c>
      <c r="J87" s="6">
        <f t="shared" si="9"/>
        <v>2782.99</v>
      </c>
      <c r="K87" s="6">
        <f t="shared" si="10"/>
        <v>2787.99</v>
      </c>
      <c r="L87" s="6">
        <f t="shared" si="11"/>
        <v>2777.99</v>
      </c>
    </row>
    <row r="88" spans="2:12" x14ac:dyDescent="0.2">
      <c r="B88" s="6">
        <v>-2415.65</v>
      </c>
      <c r="C88" s="6">
        <v>5348.37</v>
      </c>
      <c r="D88" s="6">
        <v>-2414.88</v>
      </c>
      <c r="E88" s="6">
        <f t="shared" si="6"/>
        <v>-2409.88</v>
      </c>
      <c r="F88" s="6">
        <f t="shared" si="7"/>
        <v>-2419.88</v>
      </c>
      <c r="H88" s="6">
        <f t="shared" si="8"/>
        <v>2783.65</v>
      </c>
      <c r="I88" s="6">
        <v>5348.37</v>
      </c>
      <c r="J88" s="6">
        <f t="shared" si="9"/>
        <v>2782.88</v>
      </c>
      <c r="K88" s="6">
        <f t="shared" si="10"/>
        <v>2787.88</v>
      </c>
      <c r="L88" s="6">
        <f t="shared" si="11"/>
        <v>2777.88</v>
      </c>
    </row>
    <row r="89" spans="2:12" x14ac:dyDescent="0.2">
      <c r="B89" s="6">
        <v>-2415.9699999999998</v>
      </c>
      <c r="C89" s="6">
        <v>5377.69</v>
      </c>
      <c r="D89" s="6">
        <v>-2415.08</v>
      </c>
      <c r="E89" s="6">
        <f t="shared" si="6"/>
        <v>-2410.08</v>
      </c>
      <c r="F89" s="6">
        <f t="shared" si="7"/>
        <v>-2420.08</v>
      </c>
      <c r="H89" s="6">
        <f t="shared" si="8"/>
        <v>2783.97</v>
      </c>
      <c r="I89" s="6">
        <v>5377.69</v>
      </c>
      <c r="J89" s="6">
        <f t="shared" si="9"/>
        <v>2783.08</v>
      </c>
      <c r="K89" s="6">
        <f t="shared" si="10"/>
        <v>2788.08</v>
      </c>
      <c r="L89" s="6">
        <f t="shared" si="11"/>
        <v>2778.08</v>
      </c>
    </row>
    <row r="90" spans="2:12" x14ac:dyDescent="0.2">
      <c r="B90" s="6">
        <v>-2416.1</v>
      </c>
      <c r="C90" s="6">
        <v>5406.98</v>
      </c>
      <c r="D90" s="6">
        <v>-2415.2800000000002</v>
      </c>
      <c r="E90" s="6">
        <f t="shared" si="6"/>
        <v>-2410.2800000000002</v>
      </c>
      <c r="F90" s="6">
        <f t="shared" si="7"/>
        <v>-2420.2800000000002</v>
      </c>
      <c r="H90" s="6">
        <f t="shared" si="8"/>
        <v>2784.1</v>
      </c>
      <c r="I90" s="6">
        <v>5406.98</v>
      </c>
      <c r="J90" s="6">
        <f t="shared" si="9"/>
        <v>2783.28</v>
      </c>
      <c r="K90" s="6">
        <f t="shared" si="10"/>
        <v>2788.28</v>
      </c>
      <c r="L90" s="6">
        <f t="shared" si="11"/>
        <v>2778.28</v>
      </c>
    </row>
    <row r="91" spans="2:12" x14ac:dyDescent="0.2">
      <c r="B91" s="6">
        <v>-2416.09</v>
      </c>
      <c r="C91" s="6">
        <v>5436.05</v>
      </c>
      <c r="D91" s="6">
        <v>-2415.4899999999998</v>
      </c>
      <c r="E91" s="6">
        <f t="shared" si="6"/>
        <v>-2410.4899999999998</v>
      </c>
      <c r="F91" s="6">
        <f t="shared" si="7"/>
        <v>-2420.4899999999998</v>
      </c>
      <c r="H91" s="6">
        <f t="shared" si="8"/>
        <v>2784.09</v>
      </c>
      <c r="I91" s="6">
        <v>5436.05</v>
      </c>
      <c r="J91" s="6">
        <f t="shared" si="9"/>
        <v>2783.49</v>
      </c>
      <c r="K91" s="6">
        <f t="shared" si="10"/>
        <v>2788.49</v>
      </c>
      <c r="L91" s="6">
        <f t="shared" si="11"/>
        <v>2778.49</v>
      </c>
    </row>
    <row r="92" spans="2:12" x14ac:dyDescent="0.2">
      <c r="B92" s="6">
        <v>-2416.1</v>
      </c>
      <c r="C92" s="6">
        <v>5465.05</v>
      </c>
      <c r="D92" s="6">
        <v>-2415.69</v>
      </c>
      <c r="E92" s="6">
        <f t="shared" si="6"/>
        <v>-2410.69</v>
      </c>
      <c r="F92" s="6">
        <f t="shared" si="7"/>
        <v>-2420.69</v>
      </c>
      <c r="H92" s="6">
        <f t="shared" si="8"/>
        <v>2784.1</v>
      </c>
      <c r="I92" s="6">
        <v>5465.05</v>
      </c>
      <c r="J92" s="6">
        <f t="shared" si="9"/>
        <v>2783.69</v>
      </c>
      <c r="K92" s="6">
        <f t="shared" si="10"/>
        <v>2788.69</v>
      </c>
      <c r="L92" s="6">
        <f t="shared" si="11"/>
        <v>2778.69</v>
      </c>
    </row>
    <row r="93" spans="2:12" x14ac:dyDescent="0.2">
      <c r="B93" s="6">
        <v>-2416.1799999999998</v>
      </c>
      <c r="C93" s="6">
        <v>5493.82</v>
      </c>
      <c r="D93" s="6">
        <v>-2415.89</v>
      </c>
      <c r="E93" s="6">
        <f t="shared" si="6"/>
        <v>-2410.89</v>
      </c>
      <c r="F93" s="6">
        <f t="shared" si="7"/>
        <v>-2420.89</v>
      </c>
      <c r="H93" s="6">
        <f t="shared" si="8"/>
        <v>2784.18</v>
      </c>
      <c r="I93" s="6">
        <v>5493.82</v>
      </c>
      <c r="J93" s="6">
        <f t="shared" si="9"/>
        <v>2783.89</v>
      </c>
      <c r="K93" s="6">
        <f t="shared" si="10"/>
        <v>2788.89</v>
      </c>
      <c r="L93" s="6">
        <f t="shared" si="11"/>
        <v>2778.89</v>
      </c>
    </row>
    <row r="94" spans="2:12" x14ac:dyDescent="0.2">
      <c r="B94" s="6">
        <v>-2416.17</v>
      </c>
      <c r="C94" s="6">
        <v>5501.88</v>
      </c>
      <c r="D94" s="6">
        <v>-2415.94</v>
      </c>
      <c r="E94" s="6">
        <f t="shared" si="6"/>
        <v>-2410.94</v>
      </c>
      <c r="F94" s="6">
        <f t="shared" si="7"/>
        <v>-2420.94</v>
      </c>
      <c r="H94" s="6">
        <f t="shared" si="8"/>
        <v>2784.17</v>
      </c>
      <c r="I94" s="6">
        <v>5501.88</v>
      </c>
      <c r="J94" s="6">
        <f t="shared" si="9"/>
        <v>2783.94</v>
      </c>
      <c r="K94" s="6">
        <f t="shared" si="10"/>
        <v>2788.94</v>
      </c>
      <c r="L94" s="6">
        <f t="shared" si="11"/>
        <v>2778.94</v>
      </c>
    </row>
  </sheetData>
  <mergeCells count="4">
    <mergeCell ref="B2:C2"/>
    <mergeCell ref="D2:F2"/>
    <mergeCell ref="H2:I2"/>
    <mergeCell ref="J2:L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0E8E74655B1904D93FDF428F4F625A5" ma:contentTypeVersion="2" ma:contentTypeDescription="Create a new document." ma:contentTypeScope="" ma:versionID="3d9105cdadd5790adb39728b98cb8290">
  <xsd:schema xmlns:xsd="http://www.w3.org/2001/XMLSchema" xmlns:xs="http://www.w3.org/2001/XMLSchema" xmlns:p="http://schemas.microsoft.com/office/2006/metadata/properties" xmlns:ns2="8a002052-1d6e-4813-936b-1128369cd512" targetNamespace="http://schemas.microsoft.com/office/2006/metadata/properties" ma:root="true" ma:fieldsID="4b8be0e2f9ef19d44bfccc8ac935080c" ns2:_="">
    <xsd:import namespace="8a002052-1d6e-4813-936b-1128369cd51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2052-1d6e-4813-936b-1128369cd5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05197B9-FFE7-AA43-A9E3-76BE3991DBA3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296BB58-5E50-4478-94E8-D7B189C3E22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09C459A-D002-46B6-BBFE-8338487F4231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http://www.w3.org/XML/1998/namespace"/>
    <ds:schemaRef ds:uri="8a002052-1d6e-4813-936b-1128369cd512"/>
    <ds:schemaRef ds:uri="http://purl.org/dc/dcmitype/"/>
    <ds:schemaRef ds:uri="http://schemas.microsoft.com/office/2006/metadata/properties"/>
  </ds:schemaRefs>
</ds:datastoreItem>
</file>

<file path=customXml/itemProps4.xml><?xml version="1.0" encoding="utf-8"?>
<ds:datastoreItem xmlns:ds="http://schemas.openxmlformats.org/officeDocument/2006/customXml" ds:itemID="{B4C22182-1A0D-4397-ABAF-2B3E979F84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a002052-1d6e-4813-936b-1128369cd51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6</vt:i4>
      </vt:variant>
    </vt:vector>
  </HeadingPairs>
  <TitlesOfParts>
    <vt:vector size="11" baseType="lpstr">
      <vt:lpstr>LCa-3159 </vt:lpstr>
      <vt:lpstr>Depth Control</vt:lpstr>
      <vt:lpstr>Actual Survey</vt:lpstr>
      <vt:lpstr>Planned Survey</vt:lpstr>
      <vt:lpstr>Geosteering Markers</vt:lpstr>
      <vt:lpstr>MD &amp; Geomodel</vt:lpstr>
      <vt:lpstr>Pf &amp; Def</vt:lpstr>
      <vt:lpstr>N_E &amp; Def</vt:lpstr>
      <vt:lpstr>Delta_lower &amp; Def</vt:lpstr>
      <vt:lpstr>Delta_upper &amp; Def</vt:lpstr>
      <vt:lpstr>DLS &amp; Def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Microsoft Office User</cp:lastModifiedBy>
  <cp:revision/>
  <dcterms:created xsi:type="dcterms:W3CDTF">2023-05-30T11:51:45Z</dcterms:created>
  <dcterms:modified xsi:type="dcterms:W3CDTF">2023-06-19T00:49:09Z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0x010100E0E8E74655B1904D93FDF428F4F625A5</vt:lpwstr>
  </property>
</Properties>
</file>